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Backlog" sheetId="1" state="visible" r:id="rId1"/>
    <sheet xmlns:r="http://schemas.openxmlformats.org/officeDocument/2006/relationships" name="Velocidad" sheetId="2" state="visible" r:id="rId2"/>
    <sheet xmlns:r="http://schemas.openxmlformats.org/officeDocument/2006/relationships" name="Escala" sheetId="3" state="visible" r:id="rId3"/>
  </sheets>
  <definedNames>
    <definedName name="_xlnm._FilterDatabase" localSheetId="0" hidden="1">'Product Backlog'!$A$4:$K$55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0243A"/>
      <sz val="14"/>
    </font>
    <font>
      <i val="1"/>
      <color rgb="00595959"/>
    </font>
    <font>
      <name val="Calibri"/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0243A"/>
      </patternFill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10" customWidth="1" min="3" max="3"/>
    <col width="52" customWidth="1" min="4" max="4"/>
    <col width="30" customWidth="1" min="5" max="5"/>
    <col width="10" customWidth="1" min="6" max="6"/>
    <col width="12" customWidth="1" min="7" max="7"/>
    <col width="8" customWidth="1" min="8" max="8"/>
    <col width="12" customWidth="1" min="9" max="9"/>
    <col width="11" customWidth="1" min="10" max="10"/>
    <col width="13" customWidth="1" min="11" max="11"/>
  </cols>
  <sheetData>
    <row r="1">
      <c r="A1" s="1" t="inlineStr">
        <is>
          <t>AuroraCare – Product Backlog con puntos de historia</t>
        </is>
      </c>
    </row>
    <row r="2">
      <c r="A2" s="2" t="inlineStr">
        <is>
          <t>Estado de Jira al 24-10-2026. Puntos: escala Fibonacci propuesta por el Product Owner, pendiente de validación del equipo.</t>
        </is>
      </c>
    </row>
    <row r="4">
      <c r="A4" s="3" t="inlineStr">
        <is>
          <t>Orden</t>
        </is>
      </c>
      <c r="B4" s="3" t="inlineStr">
        <is>
          <t>ID</t>
        </is>
      </c>
      <c r="C4" s="3" t="inlineStr">
        <is>
          <t>Jira</t>
        </is>
      </c>
      <c r="D4" s="3" t="inlineStr">
        <is>
          <t>Historia (resumen)</t>
        </is>
      </c>
      <c r="E4" s="3" t="inlineStr">
        <is>
          <t>Épica</t>
        </is>
      </c>
      <c r="F4" s="3" t="inlineStr">
        <is>
          <t>Prioridad</t>
        </is>
      </c>
      <c r="G4" s="3" t="inlineStr">
        <is>
          <t>Puntos (propuesta)</t>
        </is>
      </c>
      <c r="H4" s="3" t="inlineStr">
        <is>
          <t>Sprint</t>
        </is>
      </c>
      <c r="I4" s="3" t="inlineStr">
        <is>
          <t>Responsable</t>
        </is>
      </c>
      <c r="J4" s="3" t="inlineStr">
        <is>
          <t>Estado</t>
        </is>
      </c>
      <c r="K4" s="3" t="inlineStr">
        <is>
          <t>Cierre (Jira)</t>
        </is>
      </c>
    </row>
    <row r="5">
      <c r="A5" s="4" t="n">
        <v>1</v>
      </c>
      <c r="B5" s="4" t="inlineStr">
        <is>
          <t>HU-01</t>
        </is>
      </c>
      <c r="C5" s="4" t="inlineStr">
        <is>
          <t>SCRUM-5</t>
        </is>
      </c>
      <c r="D5" s="4" t="inlineStr">
        <is>
          <t>Instalar stack en los equipos de desarrollo</t>
        </is>
      </c>
      <c r="E5" s="4" t="inlineStr">
        <is>
          <t>Fundamentos y entorno</t>
        </is>
      </c>
      <c r="F5" s="4" t="inlineStr">
        <is>
          <t>Debe</t>
        </is>
      </c>
      <c r="G5" s="4" t="n">
        <v>3</v>
      </c>
      <c r="H5" s="4" t="n">
        <v>1</v>
      </c>
      <c r="I5" s="4" t="inlineStr">
        <is>
          <t>Daniela</t>
        </is>
      </c>
      <c r="J5" s="4" t="inlineStr">
        <is>
          <t>Finalizado</t>
        </is>
      </c>
      <c r="K5" s="4" t="inlineStr">
        <is>
          <t>05-09-2026</t>
        </is>
      </c>
    </row>
    <row r="6">
      <c r="A6" s="5" t="n">
        <v>2</v>
      </c>
      <c r="B6" s="5" t="inlineStr">
        <is>
          <t>HU-02</t>
        </is>
      </c>
      <c r="C6" s="5" t="inlineStr">
        <is>
          <t>SCRUM-6</t>
        </is>
      </c>
      <c r="D6" s="5" t="inlineStr">
        <is>
          <t>Configurar repositorio GitHub</t>
        </is>
      </c>
      <c r="E6" s="5" t="inlineStr">
        <is>
          <t>Fundamentos y entorno</t>
        </is>
      </c>
      <c r="F6" s="5" t="inlineStr">
        <is>
          <t>Debe</t>
        </is>
      </c>
      <c r="G6" s="5" t="n">
        <v>2</v>
      </c>
      <c r="H6" s="5" t="n">
        <v>1</v>
      </c>
      <c r="I6" s="5" t="inlineStr">
        <is>
          <t>Daniela</t>
        </is>
      </c>
      <c r="J6" s="5" t="inlineStr">
        <is>
          <t>Finalizado</t>
        </is>
      </c>
      <c r="K6" s="5" t="inlineStr">
        <is>
          <t>05-09-2026</t>
        </is>
      </c>
    </row>
    <row r="7">
      <c r="A7" s="4" t="n">
        <v>3</v>
      </c>
      <c r="B7" s="4" t="inlineStr">
        <is>
          <t>HU-03</t>
        </is>
      </c>
      <c r="C7" s="4" t="inlineStr">
        <is>
          <t>SCRUM-7</t>
        </is>
      </c>
      <c r="D7" s="4" t="inlineStr">
        <is>
          <t>Crear proyecto Firebase</t>
        </is>
      </c>
      <c r="E7" s="4" t="inlineStr">
        <is>
          <t>Fundamentos y entorno</t>
        </is>
      </c>
      <c r="F7" s="4" t="inlineStr">
        <is>
          <t>Debe</t>
        </is>
      </c>
      <c r="G7" s="4" t="n">
        <v>3</v>
      </c>
      <c r="H7" s="4" t="n">
        <v>1</v>
      </c>
      <c r="I7" s="4" t="inlineStr">
        <is>
          <t>Daniela</t>
        </is>
      </c>
      <c r="J7" s="4" t="inlineStr">
        <is>
          <t>Finalizado</t>
        </is>
      </c>
      <c r="K7" s="4" t="inlineStr">
        <is>
          <t>07-09-2026</t>
        </is>
      </c>
    </row>
    <row r="8">
      <c r="A8" s="5" t="n">
        <v>4</v>
      </c>
      <c r="B8" s="5" t="inlineStr">
        <is>
          <t>HU-04</t>
        </is>
      </c>
      <c r="C8" s="5" t="inlineStr">
        <is>
          <t>SCRUM-8</t>
        </is>
      </c>
      <c r="D8" s="5" t="inlineStr">
        <is>
          <t>Spike técnico Flutter -&gt; FastAPI -&gt; OpenAI</t>
        </is>
      </c>
      <c r="E8" s="5" t="inlineStr">
        <is>
          <t>Fundamentos y entorno</t>
        </is>
      </c>
      <c r="F8" s="5" t="inlineStr">
        <is>
          <t>Debe</t>
        </is>
      </c>
      <c r="G8" s="5" t="n">
        <v>5</v>
      </c>
      <c r="H8" s="5" t="n">
        <v>1</v>
      </c>
      <c r="I8" s="5" t="inlineStr">
        <is>
          <t>Daniela</t>
        </is>
      </c>
      <c r="J8" s="5" t="inlineStr">
        <is>
          <t>Finalizado</t>
        </is>
      </c>
      <c r="K8" s="5" t="inlineStr">
        <is>
          <t>04-09-2026</t>
        </is>
      </c>
    </row>
    <row r="9">
      <c r="A9" s="4" t="n">
        <v>5</v>
      </c>
      <c r="B9" s="4" t="inlineStr">
        <is>
          <t>HU-05</t>
        </is>
      </c>
      <c r="C9" s="4" t="inlineStr">
        <is>
          <t>SCRUM-9</t>
        </is>
      </c>
      <c r="D9" s="4" t="inlineStr">
        <is>
          <t>Configurar Jira</t>
        </is>
      </c>
      <c r="E9" s="4" t="inlineStr">
        <is>
          <t>Fundamentos y entorno</t>
        </is>
      </c>
      <c r="F9" s="4" t="inlineStr">
        <is>
          <t>Debe</t>
        </is>
      </c>
      <c r="G9" s="4" t="n">
        <v>2</v>
      </c>
      <c r="H9" s="4" t="n">
        <v>1</v>
      </c>
      <c r="I9" s="4" t="inlineStr">
        <is>
          <t>Daniela</t>
        </is>
      </c>
      <c r="J9" s="4" t="inlineStr">
        <is>
          <t>Finalizado</t>
        </is>
      </c>
      <c r="K9" s="4" t="inlineStr">
        <is>
          <t>04-09-2026</t>
        </is>
      </c>
    </row>
    <row r="10">
      <c r="A10" s="5" t="n">
        <v>6</v>
      </c>
      <c r="B10" s="5" t="inlineStr">
        <is>
          <t>HU-06</t>
        </is>
      </c>
      <c r="C10" s="5" t="inlineStr">
        <is>
          <t>SCRUM-10</t>
        </is>
      </c>
      <c r="D10" s="5" t="inlineStr">
        <is>
          <t>Reunión de kickoff del equipo</t>
        </is>
      </c>
      <c r="E10" s="5" t="inlineStr">
        <is>
          <t>Fundamentos y entorno</t>
        </is>
      </c>
      <c r="F10" s="5" t="inlineStr">
        <is>
          <t>Debe</t>
        </is>
      </c>
      <c r="G10" s="5" t="n">
        <v>1</v>
      </c>
      <c r="H10" s="5" t="n">
        <v>1</v>
      </c>
      <c r="I10" s="5" t="inlineStr">
        <is>
          <t>Daniela</t>
        </is>
      </c>
      <c r="J10" s="5" t="inlineStr">
        <is>
          <t>Finalizado</t>
        </is>
      </c>
      <c r="K10" s="5" t="inlineStr">
        <is>
          <t>10-09-2026</t>
        </is>
      </c>
    </row>
    <row r="11">
      <c r="A11" s="4" t="n">
        <v>7</v>
      </c>
      <c r="B11" s="4" t="inlineStr">
        <is>
          <t>HU-07</t>
        </is>
      </c>
      <c r="C11" s="4" t="inlineStr">
        <is>
          <t>SCRUM-14</t>
        </is>
      </c>
      <c r="D11" s="4" t="inlineStr">
        <is>
          <t>Estructura de capas Flutter</t>
        </is>
      </c>
      <c r="E11" s="4" t="inlineStr">
        <is>
          <t>Arquitectura y diseño</t>
        </is>
      </c>
      <c r="F11" s="4" t="inlineStr">
        <is>
          <t>Debe</t>
        </is>
      </c>
      <c r="G11" s="4" t="n">
        <v>8</v>
      </c>
      <c r="H11" s="4" t="n">
        <v>2</v>
      </c>
      <c r="I11" s="4" t="inlineStr">
        <is>
          <t>Daniela</t>
        </is>
      </c>
      <c r="J11" s="4" t="inlineStr">
        <is>
          <t>Finalizado</t>
        </is>
      </c>
      <c r="K11" s="4" t="inlineStr">
        <is>
          <t>22-09-2026</t>
        </is>
      </c>
    </row>
    <row r="12">
      <c r="A12" s="5" t="n">
        <v>8</v>
      </c>
      <c r="B12" s="5" t="inlineStr">
        <is>
          <t>HU-08</t>
        </is>
      </c>
      <c r="C12" s="5" t="inlineStr">
        <is>
          <t>SCRUM-15</t>
        </is>
      </c>
      <c r="D12" s="5" t="inlineStr">
        <is>
          <t>Tema visual AuroraCare</t>
        </is>
      </c>
      <c r="E12" s="5" t="inlineStr">
        <is>
          <t>Arquitectura y diseño</t>
        </is>
      </c>
      <c r="F12" s="5" t="inlineStr">
        <is>
          <t>Debe</t>
        </is>
      </c>
      <c r="G12" s="5" t="n">
        <v>3</v>
      </c>
      <c r="H12" s="5" t="n">
        <v>2</v>
      </c>
      <c r="I12" s="5" t="inlineStr">
        <is>
          <t>Benjamín</t>
        </is>
      </c>
      <c r="J12" s="5" t="inlineStr">
        <is>
          <t>Finalizado</t>
        </is>
      </c>
      <c r="K12" s="5" t="inlineStr">
        <is>
          <t>15-09-2026</t>
        </is>
      </c>
    </row>
    <row r="13">
      <c r="A13" s="4" t="n">
        <v>9</v>
      </c>
      <c r="B13" s="4" t="inlineStr">
        <is>
          <t>HU-09</t>
        </is>
      </c>
      <c r="C13" s="4" t="inlineStr">
        <is>
          <t>SCRUM-16</t>
        </is>
      </c>
      <c r="D13" s="4" t="inlineStr">
        <is>
          <t>Pantalla de Bienvenida y Login</t>
        </is>
      </c>
      <c r="E13" s="4" t="inlineStr">
        <is>
          <t>Identidad, acceso y modos de uso</t>
        </is>
      </c>
      <c r="F13" s="4" t="inlineStr">
        <is>
          <t>Debe</t>
        </is>
      </c>
      <c r="G13" s="4" t="n">
        <v>5</v>
      </c>
      <c r="H13" s="4" t="n">
        <v>2</v>
      </c>
      <c r="I13" s="4" t="inlineStr">
        <is>
          <t>Benjamín</t>
        </is>
      </c>
      <c r="J13" s="4" t="inlineStr">
        <is>
          <t>Finalizado</t>
        </is>
      </c>
      <c r="K13" s="4" t="inlineStr">
        <is>
          <t>19-09-2026</t>
        </is>
      </c>
    </row>
    <row r="14">
      <c r="A14" s="5" t="n">
        <v>10</v>
      </c>
      <c r="B14" s="5" t="inlineStr">
        <is>
          <t>HU-10</t>
        </is>
      </c>
      <c r="C14" s="5" t="inlineStr">
        <is>
          <t>SCRUM-17</t>
        </is>
      </c>
      <c r="D14" s="5" t="inlineStr">
        <is>
          <t>Disclaimer médico en onboarding</t>
        </is>
      </c>
      <c r="E14" s="5" t="inlineStr">
        <is>
          <t>Identidad, acceso y modos de uso</t>
        </is>
      </c>
      <c r="F14" s="5" t="inlineStr">
        <is>
          <t>Debe</t>
        </is>
      </c>
      <c r="G14" s="5" t="n">
        <v>3</v>
      </c>
      <c r="H14" s="5" t="n">
        <v>2</v>
      </c>
      <c r="I14" s="5" t="inlineStr">
        <is>
          <t>Benjamín</t>
        </is>
      </c>
      <c r="J14" s="5" t="inlineStr">
        <is>
          <t>Finalizado</t>
        </is>
      </c>
      <c r="K14" s="5" t="inlineStr">
        <is>
          <t>23-09-2026</t>
        </is>
      </c>
    </row>
    <row r="15">
      <c r="A15" s="4" t="n">
        <v>11</v>
      </c>
      <c r="B15" s="4" t="inlineStr">
        <is>
          <t>HU-11</t>
        </is>
      </c>
      <c r="C15" s="4" t="inlineStr">
        <is>
          <t>SCRUM-18</t>
        </is>
      </c>
      <c r="D15" s="4" t="inlineStr">
        <is>
          <t>Selección de modo de uso</t>
        </is>
      </c>
      <c r="E15" s="4" t="inlineStr">
        <is>
          <t>Identidad, acceso y modos de uso</t>
        </is>
      </c>
      <c r="F15" s="4" t="inlineStr">
        <is>
          <t>Debe</t>
        </is>
      </c>
      <c r="G15" s="4" t="n">
        <v>5</v>
      </c>
      <c r="H15" s="4" t="n">
        <v>2</v>
      </c>
      <c r="I15" s="4" t="inlineStr">
        <is>
          <t>Benjamín</t>
        </is>
      </c>
      <c r="J15" s="4" t="inlineStr">
        <is>
          <t>Finalizado</t>
        </is>
      </c>
      <c r="K15" s="4" t="inlineStr">
        <is>
          <t>29-09-2026</t>
        </is>
      </c>
    </row>
    <row r="16">
      <c r="A16" s="5" t="n">
        <v>12</v>
      </c>
      <c r="B16" s="5" t="inlineStr">
        <is>
          <t>HU-12</t>
        </is>
      </c>
      <c r="C16" s="5" t="inlineStr">
        <is>
          <t>SCRUM-19</t>
        </is>
      </c>
      <c r="D16" s="5" t="inlineStr">
        <is>
          <t>Generación UUID anónimo</t>
        </is>
      </c>
      <c r="E16" s="5" t="inlineStr">
        <is>
          <t>Identidad, acceso y modos de uso</t>
        </is>
      </c>
      <c r="F16" s="5" t="inlineStr">
        <is>
          <t>Debe</t>
        </is>
      </c>
      <c r="G16" s="5" t="n">
        <v>3</v>
      </c>
      <c r="H16" s="5" t="n">
        <v>2</v>
      </c>
      <c r="I16" s="5" t="inlineStr">
        <is>
          <t>Daniela</t>
        </is>
      </c>
      <c r="J16" s="5" t="inlineStr">
        <is>
          <t>Finalizado</t>
        </is>
      </c>
      <c r="K16" s="5" t="inlineStr">
        <is>
          <t>29-09-2026</t>
        </is>
      </c>
    </row>
    <row r="17">
      <c r="A17" s="4" t="n">
        <v>13</v>
      </c>
      <c r="B17" s="4" t="inlineStr">
        <is>
          <t>HU-13</t>
        </is>
      </c>
      <c r="C17" s="4" t="inlineStr">
        <is>
          <t>SCRUM-20</t>
        </is>
      </c>
      <c r="D17" s="4" t="inlineStr">
        <is>
          <t>Prototipo Figma – Flujos Completos 9 - 12</t>
        </is>
      </c>
      <c r="E17" s="4" t="inlineStr">
        <is>
          <t>Arquitectura y diseño</t>
        </is>
      </c>
      <c r="F17" s="4" t="inlineStr">
        <is>
          <t>Debe</t>
        </is>
      </c>
      <c r="G17" s="4" t="n">
        <v>8</v>
      </c>
      <c r="H17" s="4" t="n">
        <v>2</v>
      </c>
      <c r="I17" s="4" t="inlineStr">
        <is>
          <t>Daniela</t>
        </is>
      </c>
      <c r="J17" s="4" t="inlineStr">
        <is>
          <t>Finalizado</t>
        </is>
      </c>
      <c r="K17" s="4" t="inlineStr">
        <is>
          <t>04-10-2026</t>
        </is>
      </c>
    </row>
    <row r="18">
      <c r="A18" s="5" t="n">
        <v>14</v>
      </c>
      <c r="B18" s="5" t="inlineStr">
        <is>
          <t>HU-14</t>
        </is>
      </c>
      <c r="C18" s="5" t="inlineStr">
        <is>
          <t>SCRUM-85</t>
        </is>
      </c>
      <c r="D18" s="5" t="inlineStr">
        <is>
          <t>Registro de Cuidador</t>
        </is>
      </c>
      <c r="E18" s="5" t="inlineStr">
        <is>
          <t>Identidad, acceso y modos de uso</t>
        </is>
      </c>
      <c r="F18" s="5" t="inlineStr">
        <is>
          <t>Debe</t>
        </is>
      </c>
      <c r="G18" s="5" t="n">
        <v>5</v>
      </c>
      <c r="H18" s="5" t="n">
        <v>2</v>
      </c>
      <c r="I18" s="5" t="inlineStr">
        <is>
          <t>Eduardo</t>
        </is>
      </c>
      <c r="J18" s="5" t="inlineStr">
        <is>
          <t>Finalizado</t>
        </is>
      </c>
      <c r="K18" s="5" t="inlineStr">
        <is>
          <t>30-09-2026</t>
        </is>
      </c>
    </row>
    <row r="19">
      <c r="A19" s="4" t="n">
        <v>15</v>
      </c>
      <c r="B19" s="4" t="inlineStr">
        <is>
          <t>HU-15</t>
        </is>
      </c>
      <c r="C19" s="4" t="inlineStr">
        <is>
          <t>SCRUM-124</t>
        </is>
      </c>
      <c r="D19" s="4" t="inlineStr">
        <is>
          <t>Desbloqueo de Tareas de Programación</t>
        </is>
      </c>
      <c r="E19" s="4" t="inlineStr">
        <is>
          <t>Fundamentos y entorno</t>
        </is>
      </c>
      <c r="F19" s="4" t="inlineStr">
        <is>
          <t>Debe</t>
        </is>
      </c>
      <c r="G19" s="4" t="n">
        <v>3</v>
      </c>
      <c r="H19" s="4" t="n">
        <v>2</v>
      </c>
      <c r="I19" s="4" t="inlineStr">
        <is>
          <t>Daniela</t>
        </is>
      </c>
      <c r="J19" s="4" t="inlineStr">
        <is>
          <t>Finalizado</t>
        </is>
      </c>
      <c r="K19" s="4" t="inlineStr">
        <is>
          <t>30-09-2026</t>
        </is>
      </c>
    </row>
    <row r="20">
      <c r="A20" s="5" t="n">
        <v>16</v>
      </c>
      <c r="B20" s="5" t="inlineStr">
        <is>
          <t>HU-16</t>
        </is>
      </c>
      <c r="C20" s="5" t="inlineStr">
        <is>
          <t>SCRUM-129</t>
        </is>
      </c>
      <c r="D20" s="5" t="inlineStr">
        <is>
          <t>Prototipo Figma - Flujos Completos  1-4</t>
        </is>
      </c>
      <c r="E20" s="5" t="inlineStr">
        <is>
          <t>Arquitectura y diseño</t>
        </is>
      </c>
      <c r="F20" s="5" t="inlineStr">
        <is>
          <t>Debe</t>
        </is>
      </c>
      <c r="G20" s="5" t="n">
        <v>8</v>
      </c>
      <c r="H20" s="5" t="n">
        <v>2</v>
      </c>
      <c r="I20" s="5" t="inlineStr">
        <is>
          <t>Benjamín</t>
        </is>
      </c>
      <c r="J20" s="5" t="inlineStr">
        <is>
          <t>Finalizado</t>
        </is>
      </c>
      <c r="K20" s="5" t="inlineStr">
        <is>
          <t>06-10-2026</t>
        </is>
      </c>
    </row>
    <row r="21">
      <c r="A21" s="4" t="n">
        <v>17</v>
      </c>
      <c r="B21" s="4" t="inlineStr">
        <is>
          <t>HU-17</t>
        </is>
      </c>
      <c r="C21" s="4" t="inlineStr">
        <is>
          <t>SCRUM-130</t>
        </is>
      </c>
      <c r="D21" s="4" t="inlineStr">
        <is>
          <t>Prototipo Figma - Flujos Completos 5 - 8</t>
        </is>
      </c>
      <c r="E21" s="4" t="inlineStr">
        <is>
          <t>Arquitectura y diseño</t>
        </is>
      </c>
      <c r="F21" s="4" t="inlineStr">
        <is>
          <t>Debe</t>
        </is>
      </c>
      <c r="G21" s="4" t="n">
        <v>8</v>
      </c>
      <c r="H21" s="4" t="n">
        <v>2</v>
      </c>
      <c r="I21" s="4" t="inlineStr">
        <is>
          <t>Eduardo</t>
        </is>
      </c>
      <c r="J21" s="4" t="inlineStr">
        <is>
          <t>Finalizado</t>
        </is>
      </c>
      <c r="K21" s="4" t="inlineStr">
        <is>
          <t>06-10-2026</t>
        </is>
      </c>
    </row>
    <row r="22">
      <c r="A22" s="5" t="n">
        <v>18</v>
      </c>
      <c r="B22" s="5" t="inlineStr">
        <is>
          <t>HU-18</t>
        </is>
      </c>
      <c r="C22" s="5" t="inlineStr">
        <is>
          <t>SCRUM-139</t>
        </is>
      </c>
      <c r="D22" s="5" t="inlineStr">
        <is>
          <t>Paso a Producción – Merge Develop -&gt; Main</t>
        </is>
      </c>
      <c r="E22" s="5" t="inlineStr">
        <is>
          <t>Fundamentos y entorno</t>
        </is>
      </c>
      <c r="F22" s="5" t="inlineStr">
        <is>
          <t>Debe</t>
        </is>
      </c>
      <c r="G22" s="5" t="n">
        <v>2</v>
      </c>
      <c r="H22" s="5" t="n">
        <v>2</v>
      </c>
      <c r="I22" s="5" t="inlineStr">
        <is>
          <t>Daniela</t>
        </is>
      </c>
      <c r="J22" s="5" t="inlineStr">
        <is>
          <t>Finalizado</t>
        </is>
      </c>
      <c r="K22" s="5" t="inlineStr">
        <is>
          <t>01-10-2026</t>
        </is>
      </c>
    </row>
    <row r="23">
      <c r="A23" s="4" t="n">
        <v>19</v>
      </c>
      <c r="B23" s="4" t="inlineStr">
        <is>
          <t>HU-19</t>
        </is>
      </c>
      <c r="C23" s="4" t="inlineStr">
        <is>
          <t>SCRUM-21</t>
        </is>
      </c>
      <c r="D23" s="4" t="inlineStr">
        <is>
          <t>Juegos (Memoria)</t>
        </is>
      </c>
      <c r="E23" s="4" t="inlineStr">
        <is>
          <t>Estimulación y bienestar</t>
        </is>
      </c>
      <c r="F23" s="4" t="inlineStr">
        <is>
          <t>Debe</t>
        </is>
      </c>
      <c r="G23" s="4" t="n">
        <v>8</v>
      </c>
      <c r="H23" s="4" t="n">
        <v>3</v>
      </c>
      <c r="I23" s="4" t="inlineStr">
        <is>
          <t>Benjamín</t>
        </is>
      </c>
      <c r="J23" s="4" t="inlineStr">
        <is>
          <t>Finalizado</t>
        </is>
      </c>
      <c r="K23" s="4" t="inlineStr">
        <is>
          <t>23-10-2026</t>
        </is>
      </c>
    </row>
    <row r="24">
      <c r="A24" s="5" t="n">
        <v>20</v>
      </c>
      <c r="B24" s="5" t="inlineStr">
        <is>
          <t>HU-20</t>
        </is>
      </c>
      <c r="C24" s="5" t="inlineStr">
        <is>
          <t>SCRUM-22</t>
        </is>
      </c>
      <c r="D24" s="5" t="inlineStr">
        <is>
          <t>Juegos (Praxias)</t>
        </is>
      </c>
      <c r="E24" s="5" t="inlineStr">
        <is>
          <t>Estimulación y bienestar</t>
        </is>
      </c>
      <c r="F24" s="5" t="inlineStr">
        <is>
          <t>Debe</t>
        </is>
      </c>
      <c r="G24" s="5" t="n">
        <v>8</v>
      </c>
      <c r="H24" s="5" t="n">
        <v>3</v>
      </c>
      <c r="I24" s="5" t="inlineStr">
        <is>
          <t>Daniela</t>
        </is>
      </c>
      <c r="J24" s="5" t="inlineStr">
        <is>
          <t>Finalizado</t>
        </is>
      </c>
      <c r="K24" s="5" t="inlineStr">
        <is>
          <t>23-10-2026</t>
        </is>
      </c>
    </row>
    <row r="25">
      <c r="A25" s="4" t="n">
        <v>21</v>
      </c>
      <c r="B25" s="4" t="inlineStr">
        <is>
          <t>HU-21</t>
        </is>
      </c>
      <c r="C25" s="4" t="inlineStr">
        <is>
          <t>SCRUM-23</t>
        </is>
      </c>
      <c r="D25" s="4" t="inlineStr">
        <is>
          <t>Juegos (Atención)</t>
        </is>
      </c>
      <c r="E25" s="4" t="inlineStr">
        <is>
          <t>Estimulación y bienestar</t>
        </is>
      </c>
      <c r="F25" s="4" t="inlineStr">
        <is>
          <t>Debe</t>
        </is>
      </c>
      <c r="G25" s="4" t="n">
        <v>8</v>
      </c>
      <c r="H25" s="4" t="n">
        <v>3</v>
      </c>
      <c r="I25" s="4" t="inlineStr">
        <is>
          <t>Eduardo</t>
        </is>
      </c>
      <c r="J25" s="4" t="inlineStr">
        <is>
          <t>Finalizado</t>
        </is>
      </c>
      <c r="K25" s="4" t="inlineStr">
        <is>
          <t>23-10-2026</t>
        </is>
      </c>
    </row>
    <row r="26">
      <c r="A26" s="5" t="n">
        <v>22</v>
      </c>
      <c r="B26" s="5" t="inlineStr">
        <is>
          <t>HU-23</t>
        </is>
      </c>
      <c r="C26" s="5" t="inlineStr">
        <is>
          <t>SCRUM-25</t>
        </is>
      </c>
      <c r="D26" s="5" t="inlineStr">
        <is>
          <t>Captura de métricas por sesión</t>
        </is>
      </c>
      <c r="E26" s="5" t="inlineStr">
        <is>
          <t>Métricas y análisis</t>
        </is>
      </c>
      <c r="F26" s="5" t="inlineStr">
        <is>
          <t>Debe</t>
        </is>
      </c>
      <c r="G26" s="5" t="n">
        <v>8</v>
      </c>
      <c r="H26" s="5" t="n">
        <v>3</v>
      </c>
      <c r="I26" s="5" t="inlineStr">
        <is>
          <t>Daniela</t>
        </is>
      </c>
      <c r="J26" s="5" t="inlineStr">
        <is>
          <t>Finalizado</t>
        </is>
      </c>
      <c r="K26" s="5" t="inlineStr">
        <is>
          <t>13-10-2026</t>
        </is>
      </c>
    </row>
    <row r="27">
      <c r="A27" s="4" t="n">
        <v>23</v>
      </c>
      <c r="B27" s="4" t="inlineStr">
        <is>
          <t>HU-24</t>
        </is>
      </c>
      <c r="C27" s="4" t="inlineStr">
        <is>
          <t>SCRUM-26</t>
        </is>
      </c>
      <c r="D27" s="4" t="inlineStr">
        <is>
          <t>Pruebas QA</t>
        </is>
      </c>
      <c r="E27" s="4" t="inlineStr">
        <is>
          <t>Calidad y validación con usuarios</t>
        </is>
      </c>
      <c r="F27" s="4" t="inlineStr">
        <is>
          <t>Debe</t>
        </is>
      </c>
      <c r="G27" s="4" t="n">
        <v>8</v>
      </c>
      <c r="H27" s="4" t="n">
        <v>3</v>
      </c>
      <c r="I27" s="4" t="inlineStr">
        <is>
          <t>Eduardo</t>
        </is>
      </c>
      <c r="J27" s="4" t="inlineStr">
        <is>
          <t>En curso</t>
        </is>
      </c>
      <c r="K27" s="4" t="inlineStr"/>
    </row>
    <row r="28">
      <c r="A28" s="5" t="n">
        <v>24</v>
      </c>
      <c r="B28" s="5" t="inlineStr">
        <is>
          <t>HU-25</t>
        </is>
      </c>
      <c r="C28" s="5" t="inlineStr">
        <is>
          <t>SCRUM-28</t>
        </is>
      </c>
      <c r="D28" s="5" t="inlineStr">
        <is>
          <t>FastAPI - endpoint/session/analyze</t>
        </is>
      </c>
      <c r="E28" s="5" t="inlineStr">
        <is>
          <t>Métricas y análisis</t>
        </is>
      </c>
      <c r="F28" s="5" t="inlineStr">
        <is>
          <t>Debe</t>
        </is>
      </c>
      <c r="G28" s="5" t="n">
        <v>8</v>
      </c>
      <c r="H28" s="5" t="n">
        <v>3</v>
      </c>
      <c r="I28" s="5" t="inlineStr">
        <is>
          <t>Daniela</t>
        </is>
      </c>
      <c r="J28" s="5" t="inlineStr">
        <is>
          <t>Finalizado</t>
        </is>
      </c>
      <c r="K28" s="5" t="inlineStr">
        <is>
          <t>13-10-2026</t>
        </is>
      </c>
    </row>
    <row r="29">
      <c r="A29" s="4" t="n">
        <v>25</v>
      </c>
      <c r="B29" s="4" t="inlineStr">
        <is>
          <t>HU-26</t>
        </is>
      </c>
      <c r="C29" s="4" t="inlineStr">
        <is>
          <t>SCRUM-76</t>
        </is>
      </c>
      <c r="D29" s="4" t="inlineStr">
        <is>
          <t>Configurar Firebase Storage</t>
        </is>
      </c>
      <c r="E29" s="4" t="inlineStr">
        <is>
          <t>Métricas y análisis</t>
        </is>
      </c>
      <c r="F29" s="4" t="inlineStr">
        <is>
          <t>Debe</t>
        </is>
      </c>
      <c r="G29" s="4" t="n">
        <v>3</v>
      </c>
      <c r="H29" s="4" t="n">
        <v>3</v>
      </c>
      <c r="I29" s="4" t="inlineStr">
        <is>
          <t>Daniela</t>
        </is>
      </c>
      <c r="J29" s="4" t="inlineStr">
        <is>
          <t>Finalizado</t>
        </is>
      </c>
      <c r="K29" s="4" t="inlineStr">
        <is>
          <t>13-10-2026</t>
        </is>
      </c>
    </row>
    <row r="30">
      <c r="A30" s="5" t="n">
        <v>26</v>
      </c>
      <c r="B30" s="5" t="inlineStr">
        <is>
          <t>HU-27</t>
        </is>
      </c>
      <c r="C30" s="5" t="inlineStr">
        <is>
          <t>SCRUM-201</t>
        </is>
      </c>
      <c r="D30" s="5" t="inlineStr">
        <is>
          <t>Documentación para Fase 2</t>
        </is>
      </c>
      <c r="E30" s="5" t="inlineStr">
        <is>
          <t>Arquitectura y diseño</t>
        </is>
      </c>
      <c r="F30" s="5" t="inlineStr">
        <is>
          <t>Debe</t>
        </is>
      </c>
      <c r="G30" s="5" t="n">
        <v>3</v>
      </c>
      <c r="H30" s="5" t="n">
        <v>3</v>
      </c>
      <c r="I30" s="5" t="inlineStr">
        <is>
          <t>Daniela</t>
        </is>
      </c>
      <c r="J30" s="5" t="inlineStr">
        <is>
          <t>En curso</t>
        </is>
      </c>
      <c r="K30" s="5" t="inlineStr"/>
    </row>
    <row r="31">
      <c r="A31" s="4" t="n">
        <v>27</v>
      </c>
      <c r="B31" s="4" t="inlineStr">
        <is>
          <t>HU-28</t>
        </is>
      </c>
      <c r="C31" s="4" t="inlineStr">
        <is>
          <t>SCRUM-216</t>
        </is>
      </c>
      <c r="D31" s="4" t="inlineStr">
        <is>
          <t>Eliminar el modo "Solo jugar" y adaptar la app a 2 modos de uso</t>
        </is>
      </c>
      <c r="E31" s="4" t="inlineStr">
        <is>
          <t>Identidad, acceso y modos de uso</t>
        </is>
      </c>
      <c r="F31" s="4" t="inlineStr">
        <is>
          <t>Debe</t>
        </is>
      </c>
      <c r="G31" s="4" t="n">
        <v>5</v>
      </c>
      <c r="H31" s="4" t="n">
        <v>3</v>
      </c>
      <c r="I31" s="4" t="inlineStr">
        <is>
          <t>Benjamín</t>
        </is>
      </c>
      <c r="J31" s="4" t="inlineStr">
        <is>
          <t>Finalizado</t>
        </is>
      </c>
      <c r="K31" s="4" t="inlineStr">
        <is>
          <t>15-10-2026</t>
        </is>
      </c>
    </row>
    <row r="32">
      <c r="A32" s="5" t="n">
        <v>28</v>
      </c>
      <c r="B32" s="5" t="inlineStr">
        <is>
          <t>HU-29</t>
        </is>
      </c>
      <c r="C32" s="5" t="inlineStr">
        <is>
          <t>SCRUM-217</t>
        </is>
      </c>
      <c r="D32" s="5" t="inlineStr">
        <is>
          <t>Indicar con claridad dónde está el error al crear cuenta e iniciar sesión</t>
        </is>
      </c>
      <c r="E32" s="5" t="inlineStr">
        <is>
          <t>Identidad, acceso y modos de uso</t>
        </is>
      </c>
      <c r="F32" s="5" t="inlineStr">
        <is>
          <t>Debe</t>
        </is>
      </c>
      <c r="G32" s="5" t="n">
        <v>3</v>
      </c>
      <c r="H32" s="5" t="n">
        <v>3</v>
      </c>
      <c r="I32" s="5" t="inlineStr">
        <is>
          <t>Benjamín</t>
        </is>
      </c>
      <c r="J32" s="5" t="inlineStr">
        <is>
          <t>Finalizado</t>
        </is>
      </c>
      <c r="K32" s="5" t="inlineStr">
        <is>
          <t>15-10-2026</t>
        </is>
      </c>
    </row>
    <row r="33">
      <c r="A33" s="4" t="n">
        <v>29</v>
      </c>
      <c r="B33" s="4" t="inlineStr">
        <is>
          <t>HU-30</t>
        </is>
      </c>
      <c r="C33" s="4" t="inlineStr">
        <is>
          <t>SCRUM-218</t>
        </is>
      </c>
      <c r="D33" s="4" t="inlineStr">
        <is>
          <t>Mantener la sesión iniciada al volver a abrir la app</t>
        </is>
      </c>
      <c r="E33" s="4" t="inlineStr">
        <is>
          <t>Identidad, acceso y modos de uso</t>
        </is>
      </c>
      <c r="F33" s="4" t="inlineStr">
        <is>
          <t>Debe</t>
        </is>
      </c>
      <c r="G33" s="4" t="n">
        <v>3</v>
      </c>
      <c r="H33" s="4" t="n">
        <v>3</v>
      </c>
      <c r="I33" s="4" t="inlineStr">
        <is>
          <t>Benjamín</t>
        </is>
      </c>
      <c r="J33" s="4" t="inlineStr">
        <is>
          <t>Finalizado</t>
        </is>
      </c>
      <c r="K33" s="4" t="inlineStr">
        <is>
          <t>15-10-2026</t>
        </is>
      </c>
    </row>
    <row r="34">
      <c r="A34" s="5" t="n">
        <v>30</v>
      </c>
      <c r="B34" s="5" t="inlineStr">
        <is>
          <t>HU-22</t>
        </is>
      </c>
      <c r="C34" s="5" t="inlineStr">
        <is>
          <t>SCRUM-24</t>
        </is>
      </c>
      <c r="D34" s="5" t="inlineStr">
        <is>
          <t>Módulo de respiración guiada</t>
        </is>
      </c>
      <c r="E34" s="5" t="inlineStr">
        <is>
          <t>Estimulación y bienestar</t>
        </is>
      </c>
      <c r="F34" s="5" t="inlineStr">
        <is>
          <t>Debería</t>
        </is>
      </c>
      <c r="G34" s="5" t="n">
        <v>5</v>
      </c>
      <c r="H34" s="5" t="n">
        <v>3</v>
      </c>
      <c r="I34" s="5" t="inlineStr">
        <is>
          <t>Benjamín</t>
        </is>
      </c>
      <c r="J34" s="5" t="inlineStr">
        <is>
          <t>Finalizado</t>
        </is>
      </c>
      <c r="K34" s="5" t="inlineStr">
        <is>
          <t>11-10-2026</t>
        </is>
      </c>
    </row>
    <row r="35">
      <c r="A35" s="4" t="n">
        <v>31</v>
      </c>
      <c r="B35" s="4" t="inlineStr">
        <is>
          <t>HU-31</t>
        </is>
      </c>
      <c r="C35" s="4" t="inlineStr">
        <is>
          <t>SCRUM-29</t>
        </is>
      </c>
      <c r="D35" s="4" t="inlineStr">
        <is>
          <t>Primera sesión de prueba con usuarios</t>
        </is>
      </c>
      <c r="E35" s="4" t="inlineStr">
        <is>
          <t>Calidad y validación con usuarios</t>
        </is>
      </c>
      <c r="F35" s="4" t="inlineStr">
        <is>
          <t>Debe</t>
        </is>
      </c>
      <c r="G35" s="4" t="n">
        <v>3</v>
      </c>
      <c r="H35" s="4" t="n">
        <v>4</v>
      </c>
      <c r="I35" s="4" t="inlineStr">
        <is>
          <t>Daniela</t>
        </is>
      </c>
      <c r="J35" s="4" t="inlineStr">
        <is>
          <t>Pendiente</t>
        </is>
      </c>
      <c r="K35" s="4" t="inlineStr"/>
    </row>
    <row r="36">
      <c r="A36" s="5" t="n">
        <v>32</v>
      </c>
      <c r="B36" s="5" t="inlineStr">
        <is>
          <t>HU-32</t>
        </is>
      </c>
      <c r="C36" s="5" t="inlineStr">
        <is>
          <t>SCRUM-30</t>
        </is>
      </c>
      <c r="D36" s="5" t="inlineStr">
        <is>
          <t>Generación de QR por adulto mayor</t>
        </is>
      </c>
      <c r="E36" s="5" t="inlineStr">
        <is>
          <t>Cuidador y vínculo por QR</t>
        </is>
      </c>
      <c r="F36" s="5" t="inlineStr">
        <is>
          <t>Debe</t>
        </is>
      </c>
      <c r="G36" s="5" t="n">
        <v>3</v>
      </c>
      <c r="H36" s="5" t="n">
        <v>4</v>
      </c>
      <c r="I36" s="5" t="inlineStr">
        <is>
          <t>Daniela</t>
        </is>
      </c>
      <c r="J36" s="5" t="inlineStr">
        <is>
          <t>Pendiente</t>
        </is>
      </c>
      <c r="K36" s="5" t="inlineStr"/>
    </row>
    <row r="37">
      <c r="A37" s="4" t="n">
        <v>33</v>
      </c>
      <c r="B37" s="4" t="inlineStr">
        <is>
          <t>HU-33</t>
        </is>
      </c>
      <c r="C37" s="4" t="inlineStr">
        <is>
          <t>SCRUM-31</t>
        </is>
      </c>
      <c r="D37" s="4" t="inlineStr">
        <is>
          <t>Escaneo de QR por cuidador</t>
        </is>
      </c>
      <c r="E37" s="4" t="inlineStr">
        <is>
          <t>Cuidador y vínculo por QR</t>
        </is>
      </c>
      <c r="F37" s="4" t="inlineStr">
        <is>
          <t>Debe</t>
        </is>
      </c>
      <c r="G37" s="4" t="n">
        <v>3</v>
      </c>
      <c r="H37" s="4" t="n">
        <v>4</v>
      </c>
      <c r="I37" s="4" t="inlineStr">
        <is>
          <t>Eduardo</t>
        </is>
      </c>
      <c r="J37" s="4" t="inlineStr">
        <is>
          <t>Pendiente</t>
        </is>
      </c>
      <c r="K37" s="4" t="inlineStr"/>
    </row>
    <row r="38">
      <c r="A38" s="5" t="n">
        <v>34</v>
      </c>
      <c r="B38" s="5" t="inlineStr">
        <is>
          <t>HU-34</t>
        </is>
      </c>
      <c r="C38" s="5" t="inlineStr">
        <is>
          <t>SCRUM-32</t>
        </is>
      </c>
      <c r="D38" s="5" t="inlineStr">
        <is>
          <t>Dashboard cuidador</t>
        </is>
      </c>
      <c r="E38" s="5" t="inlineStr">
        <is>
          <t>Cuidador y vínculo por QR</t>
        </is>
      </c>
      <c r="F38" s="5" t="inlineStr">
        <is>
          <t>Debe</t>
        </is>
      </c>
      <c r="G38" s="5" t="n">
        <v>5</v>
      </c>
      <c r="H38" s="5" t="n">
        <v>4</v>
      </c>
      <c r="I38" s="5" t="inlineStr">
        <is>
          <t>Eduardo</t>
        </is>
      </c>
      <c r="J38" s="5" t="inlineStr">
        <is>
          <t>Pendiente</t>
        </is>
      </c>
      <c r="K38" s="5" t="inlineStr"/>
    </row>
    <row r="39">
      <c r="A39" s="4" t="n">
        <v>35</v>
      </c>
      <c r="B39" s="4" t="inlineStr">
        <is>
          <t>HU-35</t>
        </is>
      </c>
      <c r="C39" s="4" t="inlineStr">
        <is>
          <t>SCRUM-33</t>
        </is>
      </c>
      <c r="D39" s="4" t="inlineStr">
        <is>
          <t>Historial de resultados</t>
        </is>
      </c>
      <c r="E39" s="4" t="inlineStr">
        <is>
          <t>Cuidador y vínculo por QR</t>
        </is>
      </c>
      <c r="F39" s="4" t="inlineStr">
        <is>
          <t>Debe</t>
        </is>
      </c>
      <c r="G39" s="4" t="n">
        <v>3</v>
      </c>
      <c r="H39" s="4" t="n">
        <v>4</v>
      </c>
      <c r="I39" s="4" t="inlineStr">
        <is>
          <t>Eduardo</t>
        </is>
      </c>
      <c r="J39" s="4" t="inlineStr">
        <is>
          <t>Pendiente</t>
        </is>
      </c>
      <c r="K39" s="4" t="inlineStr"/>
    </row>
    <row r="40">
      <c r="A40" s="5" t="n">
        <v>36</v>
      </c>
      <c r="B40" s="5" t="inlineStr">
        <is>
          <t>HU-37</t>
        </is>
      </c>
      <c r="C40" s="5" t="inlineStr">
        <is>
          <t>SCRUM-35</t>
        </is>
      </c>
      <c r="D40" s="5" t="inlineStr">
        <is>
          <t>Vista de progreso personal</t>
        </is>
      </c>
      <c r="E40" s="5" t="inlineStr">
        <is>
          <t>Estimulación y bienestar</t>
        </is>
      </c>
      <c r="F40" s="5" t="inlineStr">
        <is>
          <t>Debe</t>
        </is>
      </c>
      <c r="G40" s="5" t="n">
        <v>3</v>
      </c>
      <c r="H40" s="5" t="n">
        <v>4</v>
      </c>
      <c r="I40" s="5" t="inlineStr">
        <is>
          <t>Benjamín</t>
        </is>
      </c>
      <c r="J40" s="5" t="inlineStr">
        <is>
          <t>Pendiente</t>
        </is>
      </c>
      <c r="K40" s="5" t="inlineStr"/>
    </row>
    <row r="41">
      <c r="A41" s="4" t="n">
        <v>37</v>
      </c>
      <c r="B41" s="4" t="inlineStr">
        <is>
          <t>HU-38</t>
        </is>
      </c>
      <c r="C41" s="4" t="inlineStr">
        <is>
          <t>SCRUM-36</t>
        </is>
      </c>
      <c r="D41" s="4" t="inlineStr">
        <is>
          <t>FastAPI – endpoint/report/generate</t>
        </is>
      </c>
      <c r="E41" s="4" t="inlineStr">
        <is>
          <t>Reporte, publicación y transferencia</t>
        </is>
      </c>
      <c r="F41" s="4" t="inlineStr">
        <is>
          <t>Debe</t>
        </is>
      </c>
      <c r="G41" s="4" t="n">
        <v>5</v>
      </c>
      <c r="H41" s="4" t="n">
        <v>4</v>
      </c>
      <c r="I41" s="4" t="inlineStr">
        <is>
          <t>Daniela</t>
        </is>
      </c>
      <c r="J41" s="4" t="inlineStr">
        <is>
          <t>Pendiente</t>
        </is>
      </c>
      <c r="K41" s="4" t="inlineStr"/>
    </row>
    <row r="42">
      <c r="A42" s="5" t="n">
        <v>38</v>
      </c>
      <c r="B42" s="5" t="inlineStr">
        <is>
          <t>HU-39</t>
        </is>
      </c>
      <c r="C42" s="5" t="inlineStr">
        <is>
          <t>SCRUM-37</t>
        </is>
      </c>
      <c r="D42" s="5" t="inlineStr">
        <is>
          <t>Pruebas QA</t>
        </is>
      </c>
      <c r="E42" s="5" t="inlineStr">
        <is>
          <t>Calidad y validación con usuarios</t>
        </is>
      </c>
      <c r="F42" s="5" t="inlineStr">
        <is>
          <t>Debe</t>
        </is>
      </c>
      <c r="G42" s="5" t="n">
        <v>5</v>
      </c>
      <c r="H42" s="5" t="n">
        <v>4</v>
      </c>
      <c r="I42" s="5" t="inlineStr">
        <is>
          <t>Eduardo</t>
        </is>
      </c>
      <c r="J42" s="5" t="inlineStr">
        <is>
          <t>Pendiente</t>
        </is>
      </c>
      <c r="K42" s="5" t="inlineStr"/>
    </row>
    <row r="43">
      <c r="A43" s="4" t="n">
        <v>39</v>
      </c>
      <c r="B43" s="4" t="inlineStr">
        <is>
          <t>HU-40</t>
        </is>
      </c>
      <c r="C43" s="4" t="inlineStr">
        <is>
          <t>SCRUM-38</t>
        </is>
      </c>
      <c r="D43" s="4" t="inlineStr">
        <is>
          <t>Segunda sesión de pruebas con usuarios</t>
        </is>
      </c>
      <c r="E43" s="4" t="inlineStr">
        <is>
          <t>Calidad y validación con usuarios</t>
        </is>
      </c>
      <c r="F43" s="4" t="inlineStr">
        <is>
          <t>Debe</t>
        </is>
      </c>
      <c r="G43" s="4" t="n">
        <v>3</v>
      </c>
      <c r="H43" s="4" t="n">
        <v>4</v>
      </c>
      <c r="I43" s="4" t="inlineStr">
        <is>
          <t>Daniela</t>
        </is>
      </c>
      <c r="J43" s="4" t="inlineStr">
        <is>
          <t>Pendiente</t>
        </is>
      </c>
      <c r="K43" s="4" t="inlineStr"/>
    </row>
    <row r="44">
      <c r="A44" s="5" t="n">
        <v>40</v>
      </c>
      <c r="B44" s="5" t="inlineStr">
        <is>
          <t>HU-36</t>
        </is>
      </c>
      <c r="C44" s="5" t="inlineStr">
        <is>
          <t>SCRUM-34</t>
        </is>
      </c>
      <c r="D44" s="5" t="inlineStr">
        <is>
          <t>Notificación push al cuidador</t>
        </is>
      </c>
      <c r="E44" s="5" t="inlineStr">
        <is>
          <t>Cuidador y vínculo por QR</t>
        </is>
      </c>
      <c r="F44" s="5" t="inlineStr">
        <is>
          <t>Debería</t>
        </is>
      </c>
      <c r="G44" s="5" t="n">
        <v>5</v>
      </c>
      <c r="H44" s="5" t="n">
        <v>4</v>
      </c>
      <c r="I44" s="5" t="inlineStr">
        <is>
          <t>Eduardo</t>
        </is>
      </c>
      <c r="J44" s="5" t="inlineStr">
        <is>
          <t>Pendiente</t>
        </is>
      </c>
      <c r="K44" s="5" t="inlineStr"/>
    </row>
    <row r="45">
      <c r="A45" s="4" t="n">
        <v>41</v>
      </c>
      <c r="B45" s="4" t="inlineStr">
        <is>
          <t>HU-42</t>
        </is>
      </c>
      <c r="C45" s="4" t="inlineStr">
        <is>
          <t>SCRUM-241</t>
        </is>
      </c>
      <c r="D45" s="4" t="inlineStr">
        <is>
          <t>Mejoras UX juegos</t>
        </is>
      </c>
      <c r="E45" s="4" t="inlineStr">
        <is>
          <t>Estimulación y bienestar</t>
        </is>
      </c>
      <c r="F45" s="4" t="inlineStr">
        <is>
          <t>Debería</t>
        </is>
      </c>
      <c r="G45" s="4" t="n">
        <v>3</v>
      </c>
      <c r="H45" s="4" t="n">
        <v>4</v>
      </c>
      <c r="I45" s="4" t="inlineStr">
        <is>
          <t>Benjamín</t>
        </is>
      </c>
      <c r="J45" s="4" t="inlineStr">
        <is>
          <t>Pendiente</t>
        </is>
      </c>
      <c r="K45" s="4" t="inlineStr"/>
    </row>
    <row r="46">
      <c r="A46" s="5" t="n">
        <v>42</v>
      </c>
      <c r="B46" s="5" t="inlineStr">
        <is>
          <t>HU-41</t>
        </is>
      </c>
      <c r="C46" s="5" t="inlineStr">
        <is>
          <t>SCRUM-240</t>
        </is>
      </c>
      <c r="D46" s="5" t="inlineStr">
        <is>
          <t>Notificación push recordatorio adulto mayor</t>
        </is>
      </c>
      <c r="E46" s="5" t="inlineStr">
        <is>
          <t>Estimulación y bienestar</t>
        </is>
      </c>
      <c r="F46" s="5" t="inlineStr">
        <is>
          <t>Podría</t>
        </is>
      </c>
      <c r="G46" s="5" t="n">
        <v>3</v>
      </c>
      <c r="H46" s="5" t="n">
        <v>4</v>
      </c>
      <c r="I46" s="5" t="inlineStr">
        <is>
          <t>Benjamín</t>
        </is>
      </c>
      <c r="J46" s="5" t="inlineStr">
        <is>
          <t>Pendiente</t>
        </is>
      </c>
      <c r="K46" s="5" t="inlineStr"/>
    </row>
    <row r="47">
      <c r="A47" s="4" t="n">
        <v>43</v>
      </c>
      <c r="B47" s="4" t="inlineStr">
        <is>
          <t>HU-43</t>
        </is>
      </c>
      <c r="C47" s="4" t="inlineStr">
        <is>
          <t>SCRUM-39</t>
        </is>
      </c>
      <c r="D47" s="4" t="inlineStr">
        <is>
          <t>flujo ARCO completo</t>
        </is>
      </c>
      <c r="E47" s="4" t="inlineStr">
        <is>
          <t>Privacidad y derechos del titular</t>
        </is>
      </c>
      <c r="F47" s="4" t="inlineStr">
        <is>
          <t>Debe</t>
        </is>
      </c>
      <c r="G47" s="4" t="n">
        <v>8</v>
      </c>
      <c r="H47" s="4" t="n">
        <v>5</v>
      </c>
      <c r="I47" s="4" t="inlineStr">
        <is>
          <t>Daniela</t>
        </is>
      </c>
      <c r="J47" s="4" t="inlineStr">
        <is>
          <t>Pendiente</t>
        </is>
      </c>
      <c r="K47" s="4" t="inlineStr"/>
    </row>
    <row r="48">
      <c r="A48" s="5" t="n">
        <v>44</v>
      </c>
      <c r="B48" s="5" t="inlineStr">
        <is>
          <t>HU-44</t>
        </is>
      </c>
      <c r="C48" s="5" t="inlineStr">
        <is>
          <t>SCRUM-40</t>
        </is>
      </c>
      <c r="D48" s="5" t="inlineStr">
        <is>
          <t>Desvinculación del cuidador</t>
        </is>
      </c>
      <c r="E48" s="5" t="inlineStr">
        <is>
          <t>Privacidad y derechos del titular</t>
        </is>
      </c>
      <c r="F48" s="5" t="inlineStr">
        <is>
          <t>Debe</t>
        </is>
      </c>
      <c r="G48" s="5" t="n">
        <v>3</v>
      </c>
      <c r="H48" s="5" t="n">
        <v>5</v>
      </c>
      <c r="I48" s="5" t="inlineStr">
        <is>
          <t>Eduardo</t>
        </is>
      </c>
      <c r="J48" s="5" t="inlineStr">
        <is>
          <t>Pendiente</t>
        </is>
      </c>
      <c r="K48" s="5" t="inlineStr"/>
    </row>
    <row r="49">
      <c r="A49" s="4" t="n">
        <v>45</v>
      </c>
      <c r="B49" s="4" t="inlineStr">
        <is>
          <t>HU-45</t>
        </is>
      </c>
      <c r="C49" s="4" t="inlineStr">
        <is>
          <t>SCRUM-41</t>
        </is>
      </c>
      <c r="D49" s="4" t="inlineStr">
        <is>
          <t>Reporte PDF exportable</t>
        </is>
      </c>
      <c r="E49" s="4" t="inlineStr">
        <is>
          <t>Reporte, publicación y transferencia</t>
        </is>
      </c>
      <c r="F49" s="4" t="inlineStr">
        <is>
          <t>Debe</t>
        </is>
      </c>
      <c r="G49" s="4" t="n">
        <v>8</v>
      </c>
      <c r="H49" s="4" t="n">
        <v>5</v>
      </c>
      <c r="I49" s="4" t="inlineStr">
        <is>
          <t>Eduardo</t>
        </is>
      </c>
      <c r="J49" s="4" t="inlineStr">
        <is>
          <t>Pendiente</t>
        </is>
      </c>
      <c r="K49" s="4" t="inlineStr"/>
    </row>
    <row r="50">
      <c r="A50" s="5" t="n">
        <v>46</v>
      </c>
      <c r="B50" s="5" t="inlineStr">
        <is>
          <t>HU-46</t>
        </is>
      </c>
      <c r="C50" s="5" t="inlineStr">
        <is>
          <t>SCRUM-42</t>
        </is>
      </c>
      <c r="D50" s="5" t="inlineStr">
        <is>
          <t>Auditoría de lenguaje en toda la app</t>
        </is>
      </c>
      <c r="E50" s="5" t="inlineStr">
        <is>
          <t>Privacidad y derechos del titular</t>
        </is>
      </c>
      <c r="F50" s="5" t="inlineStr">
        <is>
          <t>Debe</t>
        </is>
      </c>
      <c r="G50" s="5" t="n">
        <v>3</v>
      </c>
      <c r="H50" s="5" t="n">
        <v>5</v>
      </c>
      <c r="I50" s="5" t="inlineStr">
        <is>
          <t>Benjamín</t>
        </is>
      </c>
      <c r="J50" s="5" t="inlineStr">
        <is>
          <t>Pendiente</t>
        </is>
      </c>
      <c r="K50" s="5" t="inlineStr"/>
    </row>
    <row r="51">
      <c r="A51" s="4" t="n">
        <v>47</v>
      </c>
      <c r="B51" s="4" t="inlineStr">
        <is>
          <t>HU-47</t>
        </is>
      </c>
      <c r="C51" s="4" t="inlineStr">
        <is>
          <t>SCRUM-43</t>
        </is>
      </c>
      <c r="D51" s="4" t="inlineStr">
        <is>
          <t>Pruebas de rendimiento en gama baja</t>
        </is>
      </c>
      <c r="E51" s="4" t="inlineStr">
        <is>
          <t>Calidad y validación con usuarios</t>
        </is>
      </c>
      <c r="F51" s="4" t="inlineStr">
        <is>
          <t>Debe</t>
        </is>
      </c>
      <c r="G51" s="4" t="n">
        <v>5</v>
      </c>
      <c r="H51" s="4" t="n">
        <v>5</v>
      </c>
      <c r="I51" s="4" t="inlineStr">
        <is>
          <t>Benjamín</t>
        </is>
      </c>
      <c r="J51" s="4" t="inlineStr">
        <is>
          <t>Pendiente</t>
        </is>
      </c>
      <c r="K51" s="4" t="inlineStr"/>
    </row>
    <row r="52">
      <c r="A52" s="5" t="n">
        <v>48</v>
      </c>
      <c r="B52" s="5" t="inlineStr">
        <is>
          <t>HU-48</t>
        </is>
      </c>
      <c r="C52" s="5" t="inlineStr">
        <is>
          <t>SCRUM-44</t>
        </is>
      </c>
      <c r="D52" s="5" t="inlineStr">
        <is>
          <t>Pruebas QA</t>
        </is>
      </c>
      <c r="E52" s="5" t="inlineStr">
        <is>
          <t>Calidad y validación con usuarios</t>
        </is>
      </c>
      <c r="F52" s="5" t="inlineStr">
        <is>
          <t>Debe</t>
        </is>
      </c>
      <c r="G52" s="5" t="n">
        <v>5</v>
      </c>
      <c r="H52" s="5" t="n">
        <v>5</v>
      </c>
      <c r="I52" s="5" t="inlineStr">
        <is>
          <t>Eduardo</t>
        </is>
      </c>
      <c r="J52" s="5" t="inlineStr">
        <is>
          <t>Pendiente</t>
        </is>
      </c>
      <c r="K52" s="5" t="inlineStr"/>
    </row>
    <row r="53">
      <c r="A53" s="4" t="n">
        <v>49</v>
      </c>
      <c r="B53" s="4" t="inlineStr">
        <is>
          <t>HU-49</t>
        </is>
      </c>
      <c r="C53" s="4" t="inlineStr">
        <is>
          <t>SCRUM-45</t>
        </is>
      </c>
      <c r="D53" s="4" t="inlineStr">
        <is>
          <t>Tercera sesión de prueba con usuarios</t>
        </is>
      </c>
      <c r="E53" s="4" t="inlineStr">
        <is>
          <t>Calidad y validación con usuarios</t>
        </is>
      </c>
      <c r="F53" s="4" t="inlineStr">
        <is>
          <t>Debe</t>
        </is>
      </c>
      <c r="G53" s="4" t="n">
        <v>3</v>
      </c>
      <c r="H53" s="4" t="n">
        <v>5</v>
      </c>
      <c r="I53" s="4" t="inlineStr">
        <is>
          <t>Daniela</t>
        </is>
      </c>
      <c r="J53" s="4" t="inlineStr">
        <is>
          <t>Pendiente</t>
        </is>
      </c>
      <c r="K53" s="4" t="inlineStr"/>
    </row>
    <row r="54">
      <c r="A54" s="5" t="n">
        <v>50</v>
      </c>
      <c r="B54" s="5" t="inlineStr">
        <is>
          <t>HU-50</t>
        </is>
      </c>
      <c r="C54" s="5" t="inlineStr">
        <is>
          <t>SCRUM-46</t>
        </is>
      </c>
      <c r="D54" s="5" t="inlineStr">
        <is>
          <t>Build de producción y publicación Play Store</t>
        </is>
      </c>
      <c r="E54" s="5" t="inlineStr">
        <is>
          <t>Reporte, publicación y transferencia</t>
        </is>
      </c>
      <c r="F54" s="5" t="inlineStr">
        <is>
          <t>Debe</t>
        </is>
      </c>
      <c r="G54" s="5" t="n">
        <v>5</v>
      </c>
      <c r="H54" s="5" t="n">
        <v>5</v>
      </c>
      <c r="I54" s="5" t="inlineStr">
        <is>
          <t>Daniela</t>
        </is>
      </c>
      <c r="J54" s="5" t="inlineStr">
        <is>
          <t>Pendiente</t>
        </is>
      </c>
      <c r="K54" s="5" t="inlineStr"/>
    </row>
    <row r="55">
      <c r="A55" s="4" t="n">
        <v>51</v>
      </c>
      <c r="B55" s="4" t="inlineStr">
        <is>
          <t>HU-51</t>
        </is>
      </c>
      <c r="C55" s="4" t="inlineStr">
        <is>
          <t>SCRUM-47</t>
        </is>
      </c>
      <c r="D55" s="4" t="inlineStr">
        <is>
          <t>Documentación final para transferencia</t>
        </is>
      </c>
      <c r="E55" s="4" t="inlineStr">
        <is>
          <t>Reporte, publicación y transferencia</t>
        </is>
      </c>
      <c r="F55" s="4" t="inlineStr">
        <is>
          <t>Debe</t>
        </is>
      </c>
      <c r="G55" s="4" t="n">
        <v>5</v>
      </c>
      <c r="H55" s="4" t="n">
        <v>5</v>
      </c>
      <c r="I55" s="4" t="inlineStr">
        <is>
          <t>Daniela</t>
        </is>
      </c>
      <c r="J55" s="4" t="inlineStr">
        <is>
          <t>Pendiente</t>
        </is>
      </c>
      <c r="K55" s="4" t="inlineStr"/>
    </row>
    <row r="57">
      <c r="F57" s="6" t="inlineStr">
        <is>
          <t>Total</t>
        </is>
      </c>
      <c r="G57" s="6">
        <f>SUM(G5:G55)</f>
        <v/>
      </c>
    </row>
  </sheetData>
  <autoFilter ref="A4:K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18" customWidth="1" min="3" max="3"/>
    <col width="14" customWidth="1" min="4" max="4"/>
    <col width="12" customWidth="1" min="5" max="5"/>
    <col width="16" customWidth="1" min="6" max="6"/>
    <col width="14" customWidth="1" min="7" max="7"/>
  </cols>
  <sheetData>
    <row r="1">
      <c r="A1" s="1" t="inlineStr">
        <is>
          <t>Velocidad por sprint</t>
        </is>
      </c>
    </row>
    <row r="2">
      <c r="A2" s="2" t="inlineStr">
        <is>
          <t>Puntos comprometidos al inicio, agregados durante el sprint y finalizados</t>
        </is>
      </c>
    </row>
    <row r="4">
      <c r="A4" s="3" t="inlineStr">
        <is>
          <t>Sprint</t>
        </is>
      </c>
      <c r="B4" s="3" t="inlineStr">
        <is>
          <t>Comprometidos al inicio</t>
        </is>
      </c>
      <c r="C4" s="3" t="inlineStr">
        <is>
          <t>Agregados en el sprint</t>
        </is>
      </c>
      <c r="D4" s="3" t="inlineStr">
        <is>
          <t>Total del sprint</t>
        </is>
      </c>
      <c r="E4" s="3" t="inlineStr">
        <is>
          <t>Finalizados</t>
        </is>
      </c>
      <c r="F4" s="3" t="inlineStr">
        <is>
          <t>Horas planificadas</t>
        </is>
      </c>
      <c r="G4" s="3" t="inlineStr">
        <is>
          <t>Horas por punto</t>
        </is>
      </c>
    </row>
    <row r="5">
      <c r="A5" s="4" t="inlineStr">
        <is>
          <t>Sprint 1 – Fundamentos</t>
        </is>
      </c>
      <c r="B5" s="4" t="n">
        <v>16</v>
      </c>
      <c r="C5" s="4" t="n">
        <v>0</v>
      </c>
      <c r="D5" s="4">
        <f>B5+C5</f>
        <v/>
      </c>
      <c r="E5" s="4" t="n">
        <v>16</v>
      </c>
      <c r="F5" s="4" t="n">
        <v>100</v>
      </c>
      <c r="G5" s="4">
        <f>IF(E5&gt;0,ROUND(F5/E5,1),"")</f>
        <v/>
      </c>
    </row>
    <row r="6">
      <c r="A6" s="5" t="inlineStr">
        <is>
          <t>Sprint 2 – Arquitectura y Auth</t>
        </is>
      </c>
      <c r="B6" s="5" t="n">
        <v>40</v>
      </c>
      <c r="C6" s="5" t="n">
        <v>21</v>
      </c>
      <c r="D6" s="5">
        <f>B6+C6</f>
        <v/>
      </c>
      <c r="E6" s="5" t="n">
        <v>61</v>
      </c>
      <c r="F6" s="5" t="n">
        <v>150</v>
      </c>
      <c r="G6" s="5">
        <f>IF(E6&gt;0,ROUND(F6/E6,1),"")</f>
        <v/>
      </c>
    </row>
    <row r="7">
      <c r="A7" s="4" t="inlineStr">
        <is>
          <t>Sprint 3 – Juegos y Métricas</t>
        </is>
      </c>
      <c r="B7" s="4" t="n">
        <v>59</v>
      </c>
      <c r="C7" s="4" t="n">
        <v>11</v>
      </c>
      <c r="D7" s="4">
        <f>B7+C7</f>
        <v/>
      </c>
      <c r="E7" s="4" t="n">
        <v>59</v>
      </c>
      <c r="F7" s="4" t="n">
        <v>150</v>
      </c>
      <c r="G7" s="4">
        <f>IF(E7&gt;0,ROUND(F7/E7,1),"")</f>
        <v/>
      </c>
    </row>
    <row r="8">
      <c r="A8" s="5" t="inlineStr">
        <is>
          <t>Sprint 4 – Módulo Cuidador QR</t>
        </is>
      </c>
      <c r="B8" s="5" t="n">
        <v>44</v>
      </c>
      <c r="C8" s="5" t="n">
        <v>0</v>
      </c>
      <c r="D8" s="5">
        <f>B8+C8</f>
        <v/>
      </c>
      <c r="E8" s="5" t="n">
        <v>0</v>
      </c>
      <c r="F8" s="5" t="n">
        <v>150</v>
      </c>
      <c r="G8" s="5">
        <f>IF(E8&gt;0,ROUND(F8/E8,1),"")</f>
        <v/>
      </c>
    </row>
    <row r="9">
      <c r="A9" s="4" t="inlineStr">
        <is>
          <t>Sprint 5 – Privacidad y Reporte</t>
        </is>
      </c>
      <c r="B9" s="4" t="n">
        <v>45</v>
      </c>
      <c r="C9" s="4" t="n">
        <v>0</v>
      </c>
      <c r="D9" s="4">
        <f>B9+C9</f>
        <v/>
      </c>
      <c r="E9" s="4" t="n">
        <v>0</v>
      </c>
      <c r="F9" s="4" t="n">
        <v>150</v>
      </c>
      <c r="G9" s="4">
        <f>IF(E9&gt;0,ROUND(F9/E9,1),"")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0" customWidth="1" min="1" max="1"/>
    <col width="80" customWidth="1" min="2" max="2"/>
  </cols>
  <sheetData>
    <row r="1">
      <c r="A1" s="1" t="inlineStr">
        <is>
          <t>Escala de estimación</t>
        </is>
      </c>
    </row>
    <row r="2">
      <c r="A2" s="2" t="inlineStr">
        <is>
          <t>Fibonacci</t>
        </is>
      </c>
    </row>
    <row r="4">
      <c r="A4" s="3" t="inlineStr">
        <is>
          <t>Puntos</t>
        </is>
      </c>
      <c r="B4" s="3" t="inlineStr">
        <is>
          <t>Referencia</t>
        </is>
      </c>
    </row>
    <row r="5">
      <c r="A5" s="4" t="n">
        <v>1</v>
      </c>
      <c r="B5" s="4" t="inlineStr">
        <is>
          <t>Tarea trivial (reunión, configuración mínima)</t>
        </is>
      </c>
    </row>
    <row r="6">
      <c r="A6" s="5" t="n">
        <v>2</v>
      </c>
      <c r="B6" s="5" t="inlineStr">
        <is>
          <t>Tarea simple de una persona</t>
        </is>
      </c>
    </row>
    <row r="7">
      <c r="A7" s="4" t="n">
        <v>3</v>
      </c>
      <c r="B7" s="4" t="inlineStr">
        <is>
          <t>Tarea acotada (una pantalla, un servicio)</t>
        </is>
      </c>
    </row>
    <row r="8">
      <c r="A8" s="5" t="n">
        <v>5</v>
      </c>
      <c r="B8" s="5" t="inlineStr">
        <is>
          <t>Tarea con varias partes o integración</t>
        </is>
      </c>
    </row>
    <row r="9">
      <c r="A9" s="4" t="n">
        <v>8</v>
      </c>
      <c r="B9" s="4" t="inlineStr">
        <is>
          <t>Módulo completo (un dominio de juegos, prototipo de cuatro flujos)</t>
        </is>
      </c>
    </row>
    <row r="10">
      <c r="A10" s="5" t="n">
        <v>13</v>
      </c>
      <c r="B10" s="5" t="inlineStr">
        <is>
          <t>Demasiado grande: dividir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2026-10-24T13:31:34Z</dcterms:created>
  <dcterms:modified xmlns:dcterms="http://purl.org/dc/terms/" xmlns:xsi="http://www.w3.org/2001/XMLSchema-instance" xsi:type="dcterms:W3CDTF">2026-10-24T13:31:34Z</dcterms:modified>
</cp:coreProperties>
</file>