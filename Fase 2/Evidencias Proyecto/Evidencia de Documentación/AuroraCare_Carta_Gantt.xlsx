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anny/Documents/Proyectos/AuroraCare/APT-AuroraCare/Fase 2/Evidencias Proyecto/Evidencia de Documentación/"/>
    </mc:Choice>
  </mc:AlternateContent>
  <xr:revisionPtr revIDLastSave="0" documentId="8_{C433E966-20AA-EE4C-A805-03F9DCC0469C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Gantt" sheetId="1" r:id="rId1"/>
    <sheet name="Datos Ji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5" i="1" l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K65" i="1"/>
  <c r="M63" i="1"/>
  <c r="I63" i="1"/>
  <c r="H63" i="1"/>
  <c r="G63" i="1"/>
  <c r="E63" i="1"/>
  <c r="K63" i="1" s="1"/>
  <c r="D63" i="1"/>
  <c r="O63" i="1" s="1"/>
  <c r="K62" i="1"/>
  <c r="I62" i="1"/>
  <c r="H62" i="1"/>
  <c r="G62" i="1"/>
  <c r="J62" i="1" s="1"/>
  <c r="E62" i="1"/>
  <c r="D62" i="1"/>
  <c r="W62" i="1" s="1"/>
  <c r="I61" i="1"/>
  <c r="H61" i="1"/>
  <c r="G61" i="1"/>
  <c r="E61" i="1"/>
  <c r="D61" i="1"/>
  <c r="U61" i="1" s="1"/>
  <c r="K60" i="1"/>
  <c r="I60" i="1"/>
  <c r="H60" i="1"/>
  <c r="G60" i="1"/>
  <c r="E60" i="1"/>
  <c r="D60" i="1"/>
  <c r="V60" i="1" s="1"/>
  <c r="I59" i="1"/>
  <c r="H59" i="1"/>
  <c r="G59" i="1"/>
  <c r="E59" i="1"/>
  <c r="D59" i="1"/>
  <c r="AA59" i="1" s="1"/>
  <c r="I58" i="1"/>
  <c r="H58" i="1"/>
  <c r="G58" i="1"/>
  <c r="E58" i="1"/>
  <c r="D58" i="1"/>
  <c r="T58" i="1" s="1"/>
  <c r="I57" i="1"/>
  <c r="H57" i="1"/>
  <c r="G57" i="1"/>
  <c r="E57" i="1"/>
  <c r="V57" i="1" s="1"/>
  <c r="D57" i="1"/>
  <c r="I56" i="1"/>
  <c r="H56" i="1"/>
  <c r="G56" i="1"/>
  <c r="E56" i="1"/>
  <c r="U56" i="1" s="1"/>
  <c r="D56" i="1"/>
  <c r="I55" i="1"/>
  <c r="H55" i="1"/>
  <c r="G55" i="1"/>
  <c r="J55" i="1" s="1"/>
  <c r="E55" i="1"/>
  <c r="R55" i="1" s="1"/>
  <c r="D55" i="1"/>
  <c r="AB55" i="1" s="1"/>
  <c r="AB53" i="1"/>
  <c r="R53" i="1"/>
  <c r="O53" i="1"/>
  <c r="N53" i="1"/>
  <c r="M53" i="1"/>
  <c r="K53" i="1"/>
  <c r="I53" i="1"/>
  <c r="H53" i="1"/>
  <c r="J53" i="1" s="1"/>
  <c r="G53" i="1"/>
  <c r="E53" i="1"/>
  <c r="D53" i="1"/>
  <c r="T53" i="1" s="1"/>
  <c r="X52" i="1"/>
  <c r="N52" i="1"/>
  <c r="K52" i="1"/>
  <c r="I52" i="1"/>
  <c r="H52" i="1"/>
  <c r="G52" i="1"/>
  <c r="E52" i="1"/>
  <c r="D52" i="1"/>
  <c r="Y52" i="1" s="1"/>
  <c r="I51" i="1"/>
  <c r="H51" i="1"/>
  <c r="G51" i="1"/>
  <c r="E51" i="1"/>
  <c r="D51" i="1"/>
  <c r="Y51" i="1" s="1"/>
  <c r="T50" i="1"/>
  <c r="R50" i="1"/>
  <c r="O50" i="1"/>
  <c r="M50" i="1"/>
  <c r="K50" i="1"/>
  <c r="I50" i="1"/>
  <c r="H50" i="1"/>
  <c r="G50" i="1"/>
  <c r="J50" i="1" s="1"/>
  <c r="E50" i="1"/>
  <c r="D50" i="1"/>
  <c r="O49" i="1"/>
  <c r="M49" i="1"/>
  <c r="J49" i="1"/>
  <c r="W49" i="1" s="1"/>
  <c r="I49" i="1"/>
  <c r="H49" i="1"/>
  <c r="G49" i="1"/>
  <c r="E49" i="1"/>
  <c r="D49" i="1"/>
  <c r="X49" i="1" s="1"/>
  <c r="I48" i="1"/>
  <c r="H48" i="1"/>
  <c r="G48" i="1"/>
  <c r="J48" i="1" s="1"/>
  <c r="E48" i="1"/>
  <c r="D48" i="1"/>
  <c r="Z48" i="1" s="1"/>
  <c r="I47" i="1"/>
  <c r="H47" i="1"/>
  <c r="J47" i="1" s="1"/>
  <c r="G47" i="1"/>
  <c r="E47" i="1"/>
  <c r="D47" i="1"/>
  <c r="AA47" i="1" s="1"/>
  <c r="T46" i="1"/>
  <c r="I46" i="1"/>
  <c r="H46" i="1"/>
  <c r="G46" i="1"/>
  <c r="J46" i="1" s="1"/>
  <c r="E46" i="1"/>
  <c r="K46" i="1" s="1"/>
  <c r="D46" i="1"/>
  <c r="V46" i="1" s="1"/>
  <c r="Y45" i="1"/>
  <c r="O45" i="1"/>
  <c r="I45" i="1"/>
  <c r="H45" i="1"/>
  <c r="G45" i="1"/>
  <c r="E45" i="1"/>
  <c r="D45" i="1"/>
  <c r="S45" i="1" s="1"/>
  <c r="I44" i="1"/>
  <c r="H44" i="1"/>
  <c r="G44" i="1"/>
  <c r="E44" i="1"/>
  <c r="D44" i="1"/>
  <c r="Y42" i="1"/>
  <c r="O42" i="1"/>
  <c r="M42" i="1"/>
  <c r="I42" i="1"/>
  <c r="H42" i="1"/>
  <c r="G42" i="1"/>
  <c r="J42" i="1" s="1"/>
  <c r="R42" i="1" s="1"/>
  <c r="E42" i="1"/>
  <c r="W42" i="1" s="1"/>
  <c r="D42" i="1"/>
  <c r="U42" i="1" s="1"/>
  <c r="V41" i="1"/>
  <c r="N41" i="1"/>
  <c r="I41" i="1"/>
  <c r="H41" i="1"/>
  <c r="G41" i="1"/>
  <c r="J41" i="1" s="1"/>
  <c r="E41" i="1"/>
  <c r="K41" i="1" s="1"/>
  <c r="D41" i="1"/>
  <c r="X41" i="1" s="1"/>
  <c r="Q40" i="1"/>
  <c r="O40" i="1"/>
  <c r="J40" i="1"/>
  <c r="I40" i="1"/>
  <c r="H40" i="1"/>
  <c r="G40" i="1"/>
  <c r="E40" i="1"/>
  <c r="D40" i="1"/>
  <c r="AA40" i="1" s="1"/>
  <c r="G39" i="1"/>
  <c r="E39" i="1"/>
  <c r="K39" i="1" s="1"/>
  <c r="D39" i="1"/>
  <c r="U39" i="1" s="1"/>
  <c r="I38" i="1"/>
  <c r="H38" i="1"/>
  <c r="G38" i="1"/>
  <c r="J38" i="1" s="1"/>
  <c r="E38" i="1"/>
  <c r="K38" i="1" s="1"/>
  <c r="D38" i="1"/>
  <c r="I37" i="1"/>
  <c r="H37" i="1"/>
  <c r="G37" i="1"/>
  <c r="J37" i="1" s="1"/>
  <c r="E37" i="1"/>
  <c r="D37" i="1"/>
  <c r="Z37" i="1" s="1"/>
  <c r="W36" i="1"/>
  <c r="S36" i="1"/>
  <c r="I36" i="1"/>
  <c r="H36" i="1"/>
  <c r="J36" i="1" s="1"/>
  <c r="G36" i="1"/>
  <c r="E36" i="1"/>
  <c r="D36" i="1"/>
  <c r="AA36" i="1" s="1"/>
  <c r="I35" i="1"/>
  <c r="H35" i="1"/>
  <c r="G35" i="1"/>
  <c r="J35" i="1" s="1"/>
  <c r="E35" i="1"/>
  <c r="V35" i="1" s="1"/>
  <c r="D35" i="1"/>
  <c r="AB34" i="1"/>
  <c r="W34" i="1"/>
  <c r="S34" i="1"/>
  <c r="R34" i="1"/>
  <c r="I34" i="1"/>
  <c r="H34" i="1"/>
  <c r="G34" i="1"/>
  <c r="J34" i="1" s="1"/>
  <c r="E34" i="1"/>
  <c r="AA34" i="1" s="1"/>
  <c r="D34" i="1"/>
  <c r="O34" i="1" s="1"/>
  <c r="I33" i="1"/>
  <c r="H33" i="1"/>
  <c r="G33" i="1"/>
  <c r="E33" i="1"/>
  <c r="D33" i="1"/>
  <c r="Y32" i="1"/>
  <c r="R32" i="1"/>
  <c r="O32" i="1"/>
  <c r="I32" i="1"/>
  <c r="H32" i="1"/>
  <c r="G32" i="1"/>
  <c r="J32" i="1" s="1"/>
  <c r="S32" i="1" s="1"/>
  <c r="E32" i="1"/>
  <c r="AB32" i="1" s="1"/>
  <c r="D32" i="1"/>
  <c r="V32" i="1" s="1"/>
  <c r="I31" i="1"/>
  <c r="H31" i="1"/>
  <c r="J31" i="1" s="1"/>
  <c r="G31" i="1"/>
  <c r="E31" i="1"/>
  <c r="K31" i="1" s="1"/>
  <c r="D31" i="1"/>
  <c r="Y31" i="1" s="1"/>
  <c r="I29" i="1"/>
  <c r="H29" i="1"/>
  <c r="G29" i="1"/>
  <c r="J29" i="1" s="1"/>
  <c r="E29" i="1"/>
  <c r="D29" i="1"/>
  <c r="Z29" i="1" s="1"/>
  <c r="AB28" i="1"/>
  <c r="W28" i="1"/>
  <c r="V28" i="1"/>
  <c r="M28" i="1"/>
  <c r="K28" i="1"/>
  <c r="I28" i="1"/>
  <c r="H28" i="1"/>
  <c r="G28" i="1"/>
  <c r="J28" i="1" s="1"/>
  <c r="O28" i="1" s="1"/>
  <c r="E28" i="1"/>
  <c r="D28" i="1"/>
  <c r="U28" i="1" s="1"/>
  <c r="I27" i="1"/>
  <c r="H27" i="1"/>
  <c r="G27" i="1"/>
  <c r="J27" i="1" s="1"/>
  <c r="E27" i="1"/>
  <c r="D27" i="1"/>
  <c r="J26" i="1"/>
  <c r="I26" i="1"/>
  <c r="H26" i="1"/>
  <c r="G26" i="1"/>
  <c r="E26" i="1"/>
  <c r="D26" i="1"/>
  <c r="S26" i="1" s="1"/>
  <c r="AA25" i="1"/>
  <c r="I25" i="1"/>
  <c r="H25" i="1"/>
  <c r="G25" i="1"/>
  <c r="J25" i="1" s="1"/>
  <c r="O25" i="1" s="1"/>
  <c r="E25" i="1"/>
  <c r="D25" i="1"/>
  <c r="I24" i="1"/>
  <c r="H24" i="1"/>
  <c r="G24" i="1"/>
  <c r="J24" i="1" s="1"/>
  <c r="E24" i="1"/>
  <c r="K24" i="1" s="1"/>
  <c r="D24" i="1"/>
  <c r="I23" i="1"/>
  <c r="H23" i="1"/>
  <c r="G23" i="1"/>
  <c r="J23" i="1" s="1"/>
  <c r="E23" i="1"/>
  <c r="D23" i="1"/>
  <c r="V22" i="1"/>
  <c r="S22" i="1"/>
  <c r="K22" i="1"/>
  <c r="I22" i="1"/>
  <c r="H22" i="1"/>
  <c r="G22" i="1"/>
  <c r="J22" i="1" s="1"/>
  <c r="E22" i="1"/>
  <c r="D22" i="1"/>
  <c r="X22" i="1" s="1"/>
  <c r="U21" i="1"/>
  <c r="M21" i="1"/>
  <c r="I21" i="1"/>
  <c r="H21" i="1"/>
  <c r="G21" i="1"/>
  <c r="J21" i="1" s="1"/>
  <c r="E21" i="1"/>
  <c r="X21" i="1" s="1"/>
  <c r="D21" i="1"/>
  <c r="V21" i="1" s="1"/>
  <c r="Y20" i="1"/>
  <c r="X20" i="1"/>
  <c r="I20" i="1"/>
  <c r="H20" i="1"/>
  <c r="G20" i="1"/>
  <c r="J20" i="1" s="1"/>
  <c r="N20" i="1" s="1"/>
  <c r="E20" i="1"/>
  <c r="U20" i="1" s="1"/>
  <c r="D20" i="1"/>
  <c r="Z20" i="1" s="1"/>
  <c r="AB19" i="1"/>
  <c r="AA19" i="1"/>
  <c r="T19" i="1"/>
  <c r="M19" i="1"/>
  <c r="K19" i="1"/>
  <c r="I19" i="1"/>
  <c r="H19" i="1"/>
  <c r="G19" i="1"/>
  <c r="J19" i="1" s="1"/>
  <c r="E19" i="1"/>
  <c r="D19" i="1"/>
  <c r="Z19" i="1" s="1"/>
  <c r="Z18" i="1"/>
  <c r="J18" i="1"/>
  <c r="N18" i="1" s="1"/>
  <c r="I18" i="1"/>
  <c r="H18" i="1"/>
  <c r="G18" i="1"/>
  <c r="E18" i="1"/>
  <c r="D18" i="1"/>
  <c r="S18" i="1" s="1"/>
  <c r="AA16" i="1"/>
  <c r="I16" i="1"/>
  <c r="H16" i="1"/>
  <c r="G16" i="1"/>
  <c r="J16" i="1" s="1"/>
  <c r="E16" i="1"/>
  <c r="D16" i="1"/>
  <c r="V16" i="1" s="1"/>
  <c r="I15" i="1"/>
  <c r="H15" i="1"/>
  <c r="G15" i="1"/>
  <c r="J15" i="1" s="1"/>
  <c r="E15" i="1"/>
  <c r="K15" i="1" s="1"/>
  <c r="D15" i="1"/>
  <c r="J14" i="1"/>
  <c r="I14" i="1"/>
  <c r="H14" i="1"/>
  <c r="G14" i="1"/>
  <c r="E14" i="1"/>
  <c r="Z14" i="1" s="1"/>
  <c r="D14" i="1"/>
  <c r="S13" i="1"/>
  <c r="O13" i="1"/>
  <c r="I13" i="1"/>
  <c r="H13" i="1"/>
  <c r="G13" i="1"/>
  <c r="J13" i="1" s="1"/>
  <c r="E13" i="1"/>
  <c r="K13" i="1" s="1"/>
  <c r="D13" i="1"/>
  <c r="U13" i="1" s="1"/>
  <c r="J12" i="1"/>
  <c r="I12" i="1"/>
  <c r="H12" i="1"/>
  <c r="G12" i="1"/>
  <c r="E12" i="1"/>
  <c r="K12" i="1" s="1"/>
  <c r="D12" i="1"/>
  <c r="Z12" i="1" s="1"/>
  <c r="U11" i="1"/>
  <c r="N11" i="1"/>
  <c r="K11" i="1"/>
  <c r="I11" i="1"/>
  <c r="H11" i="1"/>
  <c r="G11" i="1"/>
  <c r="J11" i="1" s="1"/>
  <c r="M11" i="1" s="1"/>
  <c r="E11" i="1"/>
  <c r="D11" i="1"/>
  <c r="V11" i="1" s="1"/>
  <c r="M13" i="1" l="1"/>
  <c r="Z13" i="1"/>
  <c r="X19" i="1"/>
  <c r="K20" i="1"/>
  <c r="V58" i="1"/>
  <c r="R12" i="1"/>
  <c r="W12" i="1"/>
  <c r="Y22" i="1"/>
  <c r="W11" i="1"/>
  <c r="T12" i="1"/>
  <c r="Q25" i="1"/>
  <c r="Y28" i="1"/>
  <c r="U29" i="1"/>
  <c r="R31" i="1"/>
  <c r="K32" i="1"/>
  <c r="M34" i="1"/>
  <c r="M36" i="1"/>
  <c r="W38" i="1"/>
  <c r="O39" i="1"/>
  <c r="J52" i="1"/>
  <c r="V52" i="1" s="1"/>
  <c r="T11" i="1"/>
  <c r="X11" i="1"/>
  <c r="U12" i="1"/>
  <c r="Y19" i="1"/>
  <c r="V20" i="1"/>
  <c r="K21" i="1"/>
  <c r="Y23" i="1"/>
  <c r="K25" i="1"/>
  <c r="T28" i="1"/>
  <c r="AA28" i="1"/>
  <c r="AA29" i="1"/>
  <c r="U31" i="1"/>
  <c r="M32" i="1"/>
  <c r="J33" i="1"/>
  <c r="Q36" i="1"/>
  <c r="X38" i="1"/>
  <c r="Y38" i="1"/>
  <c r="V39" i="1"/>
  <c r="K42" i="1"/>
  <c r="J44" i="1"/>
  <c r="U44" i="1" s="1"/>
  <c r="AA51" i="1"/>
  <c r="J56" i="1"/>
  <c r="Y56" i="1" s="1"/>
  <c r="J57" i="1"/>
  <c r="W58" i="1"/>
  <c r="J61" i="1"/>
  <c r="M62" i="1"/>
  <c r="N63" i="1"/>
  <c r="W39" i="1"/>
  <c r="V62" i="1"/>
  <c r="V31" i="1"/>
  <c r="J51" i="1"/>
  <c r="Z55" i="1"/>
  <c r="J58" i="1"/>
  <c r="Y58" i="1" s="1"/>
  <c r="M60" i="1"/>
  <c r="K61" i="1"/>
  <c r="X39" i="1"/>
  <c r="Y12" i="1"/>
  <c r="T13" i="1"/>
  <c r="O18" i="1"/>
  <c r="Q19" i="1"/>
  <c r="T22" i="1"/>
  <c r="P26" i="1"/>
  <c r="Q29" i="1"/>
  <c r="AB31" i="1"/>
  <c r="U32" i="1"/>
  <c r="Z34" i="1"/>
  <c r="U34" i="1"/>
  <c r="J39" i="1"/>
  <c r="T39" i="1" s="1"/>
  <c r="Y39" i="1"/>
  <c r="Y40" i="1"/>
  <c r="Z45" i="1"/>
  <c r="W46" i="1"/>
  <c r="K56" i="1"/>
  <c r="K57" i="1"/>
  <c r="J59" i="1"/>
  <c r="O60" i="1"/>
  <c r="V61" i="1"/>
  <c r="X31" i="1"/>
  <c r="AA12" i="1"/>
  <c r="V13" i="1"/>
  <c r="P16" i="1"/>
  <c r="Y18" i="1"/>
  <c r="S19" i="1"/>
  <c r="T21" i="1"/>
  <c r="W21" i="1"/>
  <c r="U22" i="1"/>
  <c r="U24" i="1"/>
  <c r="W27" i="1"/>
  <c r="V34" i="1"/>
  <c r="X37" i="1"/>
  <c r="AB39" i="1"/>
  <c r="T42" i="1"/>
  <c r="V42" i="1"/>
  <c r="X48" i="1"/>
  <c r="U49" i="1"/>
  <c r="O51" i="1"/>
  <c r="M56" i="1"/>
  <c r="N57" i="1"/>
  <c r="K58" i="1"/>
  <c r="S60" i="1"/>
  <c r="AB62" i="1"/>
  <c r="W32" i="1"/>
  <c r="Y41" i="1"/>
  <c r="J45" i="1"/>
  <c r="W45" i="1" s="1"/>
  <c r="Q51" i="1"/>
  <c r="P55" i="1"/>
  <c r="O56" i="1"/>
  <c r="O57" i="1"/>
  <c r="M58" i="1"/>
  <c r="J63" i="1"/>
  <c r="W13" i="1"/>
  <c r="M12" i="1"/>
  <c r="X13" i="1"/>
  <c r="U19" i="1"/>
  <c r="W22" i="1"/>
  <c r="Y34" i="1"/>
  <c r="M38" i="1"/>
  <c r="Q47" i="1"/>
  <c r="Y49" i="1"/>
  <c r="S53" i="1"/>
  <c r="V56" i="1"/>
  <c r="R57" i="1"/>
  <c r="O58" i="1"/>
  <c r="W60" i="1"/>
  <c r="V12" i="1"/>
  <c r="K18" i="1"/>
  <c r="R19" i="1"/>
  <c r="V19" i="1"/>
  <c r="O38" i="1"/>
  <c r="M39" i="1"/>
  <c r="AB42" i="1"/>
  <c r="S47" i="1"/>
  <c r="K49" i="1"/>
  <c r="U50" i="1"/>
  <c r="Y50" i="1"/>
  <c r="X53" i="1"/>
  <c r="W56" i="1"/>
  <c r="S58" i="1"/>
  <c r="P12" i="1"/>
  <c r="W14" i="1"/>
  <c r="W19" i="1"/>
  <c r="Z22" i="1"/>
  <c r="X28" i="1"/>
  <c r="K29" i="1"/>
  <c r="N31" i="1"/>
  <c r="Z33" i="1"/>
  <c r="K34" i="1"/>
  <c r="Z35" i="1"/>
  <c r="U38" i="1"/>
  <c r="N39" i="1"/>
  <c r="AB44" i="1"/>
  <c r="M45" i="1"/>
  <c r="AB50" i="1"/>
  <c r="Y53" i="1"/>
  <c r="W57" i="1"/>
  <c r="AB57" i="1"/>
  <c r="U58" i="1"/>
  <c r="J60" i="1"/>
  <c r="Y60" i="1" s="1"/>
  <c r="V53" i="1"/>
  <c r="W53" i="1"/>
  <c r="U53" i="1"/>
  <c r="N19" i="1"/>
  <c r="O19" i="1"/>
  <c r="N22" i="1"/>
  <c r="O22" i="1"/>
  <c r="S24" i="1"/>
  <c r="U27" i="1"/>
  <c r="AB33" i="1"/>
  <c r="S42" i="1"/>
  <c r="S23" i="1"/>
  <c r="R24" i="1"/>
  <c r="T25" i="1"/>
  <c r="AB25" i="1"/>
  <c r="R25" i="1"/>
  <c r="P25" i="1"/>
  <c r="AA26" i="1"/>
  <c r="Q26" i="1"/>
  <c r="Y26" i="1"/>
  <c r="O26" i="1"/>
  <c r="R26" i="1"/>
  <c r="K27" i="1"/>
  <c r="T27" i="1"/>
  <c r="T24" i="1"/>
  <c r="S25" i="1"/>
  <c r="T26" i="1"/>
  <c r="N29" i="1"/>
  <c r="K35" i="1"/>
  <c r="N37" i="1"/>
  <c r="P44" i="1"/>
  <c r="AA48" i="1"/>
  <c r="Q48" i="1"/>
  <c r="Y48" i="1"/>
  <c r="O48" i="1"/>
  <c r="W48" i="1"/>
  <c r="M48" i="1"/>
  <c r="V48" i="1"/>
  <c r="K48" i="1"/>
  <c r="U48" i="1"/>
  <c r="T48" i="1"/>
  <c r="S48" i="1"/>
  <c r="AB48" i="1"/>
  <c r="R48" i="1"/>
  <c r="Q14" i="1"/>
  <c r="Y15" i="1"/>
  <c r="O15" i="1"/>
  <c r="Q15" i="1"/>
  <c r="AB15" i="1"/>
  <c r="R23" i="1"/>
  <c r="Q24" i="1"/>
  <c r="AB24" i="1"/>
  <c r="X27" i="1"/>
  <c r="N27" i="1"/>
  <c r="V27" i="1"/>
  <c r="S27" i="1"/>
  <c r="R27" i="1"/>
  <c r="S33" i="1"/>
  <c r="AA33" i="1"/>
  <c r="Q33" i="1"/>
  <c r="X33" i="1"/>
  <c r="N33" i="1"/>
  <c r="W33" i="1"/>
  <c r="M33" i="1"/>
  <c r="U33" i="1"/>
  <c r="T33" i="1"/>
  <c r="Y33" i="1"/>
  <c r="T23" i="1"/>
  <c r="U15" i="1"/>
  <c r="T16" i="1"/>
  <c r="R18" i="1"/>
  <c r="P20" i="1"/>
  <c r="AA20" i="1"/>
  <c r="N21" i="1"/>
  <c r="Y21" i="1"/>
  <c r="V23" i="1"/>
  <c r="U26" i="1"/>
  <c r="Y27" i="1"/>
  <c r="O29" i="1"/>
  <c r="T32" i="1"/>
  <c r="P35" i="1"/>
  <c r="P37" i="1"/>
  <c r="Z40" i="1"/>
  <c r="R44" i="1"/>
  <c r="Y63" i="1"/>
  <c r="Y57" i="1"/>
  <c r="X57" i="1"/>
  <c r="T14" i="1"/>
  <c r="AA18" i="1"/>
  <c r="U23" i="1"/>
  <c r="O11" i="1"/>
  <c r="Y11" i="1"/>
  <c r="V14" i="1"/>
  <c r="V24" i="1"/>
  <c r="U25" i="1"/>
  <c r="AA11" i="1"/>
  <c r="P11" i="1"/>
  <c r="Z11" i="1"/>
  <c r="O12" i="1"/>
  <c r="N13" i="1"/>
  <c r="Y13" i="1"/>
  <c r="K14" i="1"/>
  <c r="V15" i="1"/>
  <c r="U16" i="1"/>
  <c r="T18" i="1"/>
  <c r="W20" i="1"/>
  <c r="M20" i="1"/>
  <c r="Q20" i="1"/>
  <c r="AB20" i="1"/>
  <c r="O21" i="1"/>
  <c r="Z21" i="1"/>
  <c r="M22" i="1"/>
  <c r="K23" i="1"/>
  <c r="W23" i="1"/>
  <c r="W24" i="1"/>
  <c r="V25" i="1"/>
  <c r="V26" i="1"/>
  <c r="Z27" i="1"/>
  <c r="N28" i="1"/>
  <c r="K33" i="1"/>
  <c r="T35" i="1"/>
  <c r="AB40" i="1"/>
  <c r="R40" i="1"/>
  <c r="X40" i="1"/>
  <c r="N40" i="1"/>
  <c r="W40" i="1"/>
  <c r="M40" i="1"/>
  <c r="V40" i="1"/>
  <c r="K40" i="1"/>
  <c r="U40" i="1"/>
  <c r="T40" i="1"/>
  <c r="S40" i="1"/>
  <c r="Z44" i="1"/>
  <c r="T47" i="1"/>
  <c r="W50" i="1"/>
  <c r="V50" i="1"/>
  <c r="Z51" i="1"/>
  <c r="Y47" i="1"/>
  <c r="O47" i="1"/>
  <c r="W47" i="1"/>
  <c r="M47" i="1"/>
  <c r="V47" i="1"/>
  <c r="K47" i="1"/>
  <c r="U47" i="1"/>
  <c r="AB51" i="1"/>
  <c r="R51" i="1"/>
  <c r="X51" i="1"/>
  <c r="N51" i="1"/>
  <c r="W51" i="1"/>
  <c r="M51" i="1"/>
  <c r="V51" i="1"/>
  <c r="K51" i="1"/>
  <c r="U51" i="1"/>
  <c r="T51" i="1"/>
  <c r="S51" i="1"/>
  <c r="S14" i="1"/>
  <c r="AB16" i="1"/>
  <c r="S16" i="1"/>
  <c r="O20" i="1"/>
  <c r="Q11" i="1"/>
  <c r="AB11" i="1"/>
  <c r="M14" i="1"/>
  <c r="X14" i="1"/>
  <c r="W15" i="1"/>
  <c r="W16" i="1"/>
  <c r="R11" i="1"/>
  <c r="X12" i="1"/>
  <c r="N12" i="1"/>
  <c r="Q12" i="1"/>
  <c r="AB12" i="1"/>
  <c r="P13" i="1"/>
  <c r="AA13" i="1"/>
  <c r="N14" i="1"/>
  <c r="Y14" i="1"/>
  <c r="M15" i="1"/>
  <c r="X15" i="1"/>
  <c r="M16" i="1"/>
  <c r="X16" i="1"/>
  <c r="V18" i="1"/>
  <c r="S20" i="1"/>
  <c r="Q21" i="1"/>
  <c r="AB21" i="1"/>
  <c r="O23" i="1"/>
  <c r="Z23" i="1"/>
  <c r="N24" i="1"/>
  <c r="Y24" i="1"/>
  <c r="X25" i="1"/>
  <c r="K26" i="1"/>
  <c r="X26" i="1"/>
  <c r="O27" i="1"/>
  <c r="AB27" i="1"/>
  <c r="Q28" i="1"/>
  <c r="AB29" i="1"/>
  <c r="R29" i="1"/>
  <c r="W29" i="1"/>
  <c r="M29" i="1"/>
  <c r="T29" i="1"/>
  <c r="S29" i="1"/>
  <c r="V29" i="1"/>
  <c r="P33" i="1"/>
  <c r="R15" i="1"/>
  <c r="Q16" i="1"/>
  <c r="U14" i="1"/>
  <c r="T15" i="1"/>
  <c r="Q18" i="1"/>
  <c r="AB18" i="1"/>
  <c r="S11" i="1"/>
  <c r="Q13" i="1"/>
  <c r="AB13" i="1"/>
  <c r="O14" i="1"/>
  <c r="N15" i="1"/>
  <c r="Z15" i="1"/>
  <c r="N16" i="1"/>
  <c r="Y16" i="1"/>
  <c r="W18" i="1"/>
  <c r="T20" i="1"/>
  <c r="R21" i="1"/>
  <c r="AA22" i="1"/>
  <c r="Q22" i="1"/>
  <c r="P22" i="1"/>
  <c r="AB22" i="1"/>
  <c r="P23" i="1"/>
  <c r="AA23" i="1"/>
  <c r="O24" i="1"/>
  <c r="Z24" i="1"/>
  <c r="M25" i="1"/>
  <c r="Y25" i="1"/>
  <c r="M26" i="1"/>
  <c r="Z26" i="1"/>
  <c r="P27" i="1"/>
  <c r="R28" i="1"/>
  <c r="X29" i="1"/>
  <c r="R33" i="1"/>
  <c r="W35" i="1"/>
  <c r="M35" i="1"/>
  <c r="U35" i="1"/>
  <c r="S35" i="1"/>
  <c r="AB35" i="1"/>
  <c r="R35" i="1"/>
  <c r="AA35" i="1"/>
  <c r="Q35" i="1"/>
  <c r="Y35" i="1"/>
  <c r="O35" i="1"/>
  <c r="X35" i="1"/>
  <c r="N35" i="1"/>
  <c r="T36" i="1"/>
  <c r="AA37" i="1"/>
  <c r="Q37" i="1"/>
  <c r="Y37" i="1"/>
  <c r="O37" i="1"/>
  <c r="W37" i="1"/>
  <c r="M37" i="1"/>
  <c r="V37" i="1"/>
  <c r="K37" i="1"/>
  <c r="U37" i="1"/>
  <c r="T37" i="1"/>
  <c r="S37" i="1"/>
  <c r="AB37" i="1"/>
  <c r="R37" i="1"/>
  <c r="S44" i="1"/>
  <c r="AA44" i="1"/>
  <c r="Q44" i="1"/>
  <c r="Y44" i="1"/>
  <c r="O44" i="1"/>
  <c r="X44" i="1"/>
  <c r="N44" i="1"/>
  <c r="M44" i="1"/>
  <c r="V44" i="1"/>
  <c r="K44" i="1"/>
  <c r="T44" i="1"/>
  <c r="N48" i="1"/>
  <c r="Z56" i="1"/>
  <c r="S15" i="1"/>
  <c r="K16" i="1"/>
  <c r="R16" i="1"/>
  <c r="P18" i="1"/>
  <c r="U18" i="1"/>
  <c r="R20" i="1"/>
  <c r="P21" i="1"/>
  <c r="AA21" i="1"/>
  <c r="M23" i="1"/>
  <c r="M24" i="1"/>
  <c r="X24" i="1"/>
  <c r="W25" i="1"/>
  <c r="W26" i="1"/>
  <c r="M27" i="1"/>
  <c r="AA27" i="1"/>
  <c r="O33" i="1"/>
  <c r="S12" i="1"/>
  <c r="R13" i="1"/>
  <c r="AB14" i="1"/>
  <c r="R14" i="1"/>
  <c r="P14" i="1"/>
  <c r="AA14" i="1"/>
  <c r="P15" i="1"/>
  <c r="AA15" i="1"/>
  <c r="O16" i="1"/>
  <c r="Z16" i="1"/>
  <c r="M18" i="1"/>
  <c r="X18" i="1"/>
  <c r="S21" i="1"/>
  <c r="R22" i="1"/>
  <c r="X23" i="1"/>
  <c r="N23" i="1"/>
  <c r="Q23" i="1"/>
  <c r="AB23" i="1"/>
  <c r="P24" i="1"/>
  <c r="AA24" i="1"/>
  <c r="N25" i="1"/>
  <c r="Z25" i="1"/>
  <c r="N26" i="1"/>
  <c r="AB26" i="1"/>
  <c r="Q27" i="1"/>
  <c r="Y29" i="1"/>
  <c r="V33" i="1"/>
  <c r="Y36" i="1"/>
  <c r="O36" i="1"/>
  <c r="V36" i="1"/>
  <c r="K36" i="1"/>
  <c r="U36" i="1"/>
  <c r="P48" i="1"/>
  <c r="S55" i="1"/>
  <c r="AA55" i="1"/>
  <c r="Q55" i="1"/>
  <c r="Y55" i="1"/>
  <c r="O55" i="1"/>
  <c r="X55" i="1"/>
  <c r="N55" i="1"/>
  <c r="W55" i="1"/>
  <c r="M55" i="1"/>
  <c r="V55" i="1"/>
  <c r="K55" i="1"/>
  <c r="U55" i="1"/>
  <c r="T55" i="1"/>
  <c r="P31" i="1"/>
  <c r="Z31" i="1"/>
  <c r="Q34" i="1"/>
  <c r="P41" i="1"/>
  <c r="Z41" i="1"/>
  <c r="Q45" i="1"/>
  <c r="AA45" i="1"/>
  <c r="N46" i="1"/>
  <c r="X46" i="1"/>
  <c r="P52" i="1"/>
  <c r="Z52" i="1"/>
  <c r="Q56" i="1"/>
  <c r="AA56" i="1"/>
  <c r="R59" i="1"/>
  <c r="AB59" i="1"/>
  <c r="S62" i="1"/>
  <c r="P63" i="1"/>
  <c r="Z63" i="1"/>
  <c r="Q31" i="1"/>
  <c r="AA31" i="1"/>
  <c r="N32" i="1"/>
  <c r="X32" i="1"/>
  <c r="P38" i="1"/>
  <c r="Z38" i="1"/>
  <c r="Q41" i="1"/>
  <c r="AA41" i="1"/>
  <c r="N42" i="1"/>
  <c r="X42" i="1"/>
  <c r="R45" i="1"/>
  <c r="AB45" i="1"/>
  <c r="O46" i="1"/>
  <c r="Y46" i="1"/>
  <c r="P49" i="1"/>
  <c r="Z49" i="1"/>
  <c r="Q52" i="1"/>
  <c r="AA52" i="1"/>
  <c r="R56" i="1"/>
  <c r="AB56" i="1"/>
  <c r="S59" i="1"/>
  <c r="P60" i="1"/>
  <c r="M61" i="1"/>
  <c r="W61" i="1"/>
  <c r="T62" i="1"/>
  <c r="Q63" i="1"/>
  <c r="AA63" i="1"/>
  <c r="Q38" i="1"/>
  <c r="AA38" i="1"/>
  <c r="R41" i="1"/>
  <c r="AB41" i="1"/>
  <c r="P46" i="1"/>
  <c r="Z46" i="1"/>
  <c r="Q49" i="1"/>
  <c r="AA49" i="1"/>
  <c r="N50" i="1"/>
  <c r="X50" i="1"/>
  <c r="R52" i="1"/>
  <c r="AB52" i="1"/>
  <c r="S56" i="1"/>
  <c r="P57" i="1"/>
  <c r="Z57" i="1"/>
  <c r="T59" i="1"/>
  <c r="Q60" i="1"/>
  <c r="AA60" i="1"/>
  <c r="N61" i="1"/>
  <c r="X61" i="1"/>
  <c r="U62" i="1"/>
  <c r="R63" i="1"/>
  <c r="AB63" i="1"/>
  <c r="S31" i="1"/>
  <c r="P32" i="1"/>
  <c r="Z32" i="1"/>
  <c r="T34" i="1"/>
  <c r="N36" i="1"/>
  <c r="X36" i="1"/>
  <c r="R38" i="1"/>
  <c r="AB38" i="1"/>
  <c r="S41" i="1"/>
  <c r="P42" i="1"/>
  <c r="Z42" i="1"/>
  <c r="T45" i="1"/>
  <c r="Q46" i="1"/>
  <c r="AA46" i="1"/>
  <c r="N47" i="1"/>
  <c r="X47" i="1"/>
  <c r="R49" i="1"/>
  <c r="AB49" i="1"/>
  <c r="S52" i="1"/>
  <c r="P53" i="1"/>
  <c r="Z53" i="1"/>
  <c r="T56" i="1"/>
  <c r="Q57" i="1"/>
  <c r="AA57" i="1"/>
  <c r="N58" i="1"/>
  <c r="X58" i="1"/>
  <c r="U59" i="1"/>
  <c r="R60" i="1"/>
  <c r="AB60" i="1"/>
  <c r="O61" i="1"/>
  <c r="Y61" i="1"/>
  <c r="S63" i="1"/>
  <c r="P28" i="1"/>
  <c r="Z28" i="1"/>
  <c r="T31" i="1"/>
  <c r="Q32" i="1"/>
  <c r="AA32" i="1"/>
  <c r="S38" i="1"/>
  <c r="P39" i="1"/>
  <c r="Z39" i="1"/>
  <c r="T41" i="1"/>
  <c r="Q42" i="1"/>
  <c r="AA42" i="1"/>
  <c r="U45" i="1"/>
  <c r="R46" i="1"/>
  <c r="AB46" i="1"/>
  <c r="S49" i="1"/>
  <c r="P50" i="1"/>
  <c r="Z50" i="1"/>
  <c r="T52" i="1"/>
  <c r="Q53" i="1"/>
  <c r="AA53" i="1"/>
  <c r="K59" i="1"/>
  <c r="V59" i="1"/>
  <c r="P61" i="1"/>
  <c r="Z61" i="1"/>
  <c r="T63" i="1"/>
  <c r="P36" i="1"/>
  <c r="Z36" i="1"/>
  <c r="T38" i="1"/>
  <c r="Q39" i="1"/>
  <c r="AA39" i="1"/>
  <c r="U41" i="1"/>
  <c r="K45" i="1"/>
  <c r="S46" i="1"/>
  <c r="P47" i="1"/>
  <c r="Z47" i="1"/>
  <c r="T49" i="1"/>
  <c r="Q50" i="1"/>
  <c r="AA50" i="1"/>
  <c r="S57" i="1"/>
  <c r="P58" i="1"/>
  <c r="Z58" i="1"/>
  <c r="M59" i="1"/>
  <c r="W59" i="1"/>
  <c r="T60" i="1"/>
  <c r="Q61" i="1"/>
  <c r="AA61" i="1"/>
  <c r="N62" i="1"/>
  <c r="X62" i="1"/>
  <c r="U63" i="1"/>
  <c r="T57" i="1"/>
  <c r="Q58" i="1"/>
  <c r="AA58" i="1"/>
  <c r="N59" i="1"/>
  <c r="X59" i="1"/>
  <c r="U60" i="1"/>
  <c r="R61" i="1"/>
  <c r="AB61" i="1"/>
  <c r="O62" i="1"/>
  <c r="Y62" i="1"/>
  <c r="V63" i="1"/>
  <c r="P19" i="1"/>
  <c r="S28" i="1"/>
  <c r="P29" i="1"/>
  <c r="M31" i="1"/>
  <c r="W31" i="1"/>
  <c r="N34" i="1"/>
  <c r="X34" i="1"/>
  <c r="R36" i="1"/>
  <c r="AB36" i="1"/>
  <c r="V38" i="1"/>
  <c r="P40" i="1"/>
  <c r="M41" i="1"/>
  <c r="W41" i="1"/>
  <c r="N45" i="1"/>
  <c r="X45" i="1"/>
  <c r="U46" i="1"/>
  <c r="R47" i="1"/>
  <c r="AB47" i="1"/>
  <c r="V49" i="1"/>
  <c r="S50" i="1"/>
  <c r="P51" i="1"/>
  <c r="M52" i="1"/>
  <c r="N56" i="1"/>
  <c r="X56" i="1"/>
  <c r="U57" i="1"/>
  <c r="R58" i="1"/>
  <c r="AB58" i="1"/>
  <c r="O59" i="1"/>
  <c r="Y59" i="1"/>
  <c r="S61" i="1"/>
  <c r="P62" i="1"/>
  <c r="Z62" i="1"/>
  <c r="W63" i="1"/>
  <c r="P59" i="1"/>
  <c r="Z59" i="1"/>
  <c r="T61" i="1"/>
  <c r="Q62" i="1"/>
  <c r="AA62" i="1"/>
  <c r="X63" i="1"/>
  <c r="O31" i="1"/>
  <c r="P34" i="1"/>
  <c r="N38" i="1"/>
  <c r="O41" i="1"/>
  <c r="P45" i="1"/>
  <c r="M46" i="1"/>
  <c r="N49" i="1"/>
  <c r="O52" i="1"/>
  <c r="P56" i="1"/>
  <c r="M57" i="1"/>
  <c r="Q59" i="1"/>
  <c r="N60" i="1"/>
  <c r="R62" i="1"/>
  <c r="S39" i="1" l="1"/>
  <c r="X60" i="1"/>
  <c r="V45" i="1"/>
  <c r="W52" i="1"/>
  <c r="W44" i="1"/>
  <c r="U52" i="1"/>
  <c r="Z60" i="1"/>
  <c r="R39" i="1"/>
</calcChain>
</file>

<file path=xl/sharedStrings.xml><?xml version="1.0" encoding="utf-8"?>
<sst xmlns="http://schemas.openxmlformats.org/spreadsheetml/2006/main" count="2011" uniqueCount="739">
  <si>
    <t>AuroraCare - Carta Gantt</t>
  </si>
  <si>
    <t>Corte al 23/10/2026. Calendario semanal del 31/08 al 20/12/2026.</t>
  </si>
  <si>
    <t>Verde: avance por subtareas. Color de fase: plan pendiente. Jira / Mixto / Sprint: origen de fechas.</t>
  </si>
  <si>
    <t>Inicio/fin reales no verificados. Avance por conteo, no por esfuerzo. PDF: corte estático de esta versión.</t>
  </si>
  <si>
    <t>Clave</t>
  </si>
  <si>
    <t>Actividad principal</t>
  </si>
  <si>
    <t>Responsable</t>
  </si>
  <si>
    <t>Inicio plan</t>
  </si>
  <si>
    <t>Término plan</t>
  </si>
  <si>
    <t>Origen fechas</t>
  </si>
  <si>
    <t>Estado Jira</t>
  </si>
  <si>
    <t>Subtareas</t>
  </si>
  <si>
    <t>Terminadas</t>
  </si>
  <si>
    <t>Avance</t>
  </si>
  <si>
    <t>Días calendario</t>
  </si>
  <si>
    <t>Dependencias (validar)</t>
  </si>
  <si>
    <t>Fundamentos</t>
  </si>
  <si>
    <t>SCRUM-5</t>
  </si>
  <si>
    <t>Instalar stack en los equipos de desarrollo</t>
  </si>
  <si>
    <t>Daniela</t>
  </si>
  <si>
    <t>Jira</t>
  </si>
  <si>
    <t>SCRUM-6</t>
  </si>
  <si>
    <t>Configurar repositorio GitHub</t>
  </si>
  <si>
    <t>Mixto</t>
  </si>
  <si>
    <t>SCRUM-7</t>
  </si>
  <si>
    <t>Crear proyecto Firebase</t>
  </si>
  <si>
    <t>SCRUM-8</t>
  </si>
  <si>
    <t>Spike técnico Flutter -&gt; FastAPI -&gt; OpenAI</t>
  </si>
  <si>
    <t>SCRUM-9</t>
  </si>
  <si>
    <t>Configurar Jira</t>
  </si>
  <si>
    <t>SCRUM-10</t>
  </si>
  <si>
    <t>Reunión de kickoff del equipo</t>
  </si>
  <si>
    <t>Arquitectura y autenticación</t>
  </si>
  <si>
    <t>SCRUM-14</t>
  </si>
  <si>
    <t>Estructura de capas Flutter</t>
  </si>
  <si>
    <t>SCRUM-15</t>
  </si>
  <si>
    <t>Tema visual AuroraCare</t>
  </si>
  <si>
    <t>Benjamín</t>
  </si>
  <si>
    <t>SCRUM-16</t>
  </si>
  <si>
    <t>Pantalla de Bienvenida y Login</t>
  </si>
  <si>
    <t>SCRUM-17</t>
  </si>
  <si>
    <t>Disclaimer médico en onboarding</t>
  </si>
  <si>
    <t>SCRUM-18</t>
  </si>
  <si>
    <t>Selección de modo de uso</t>
  </si>
  <si>
    <t>SCRUM-19</t>
  </si>
  <si>
    <t>Generación UUID anónimo</t>
  </si>
  <si>
    <t>SCRUM-20</t>
  </si>
  <si>
    <t>Prototipo Figma – Flujos Completos 9 - 12</t>
  </si>
  <si>
    <t>SCRUM-85</t>
  </si>
  <si>
    <t>Registro de Cuidador</t>
  </si>
  <si>
    <t>Eduardo</t>
  </si>
  <si>
    <t>SCRUM-124</t>
  </si>
  <si>
    <t>Desbloqueo de Tareas de Programación</t>
  </si>
  <si>
    <t>SCRUM-129</t>
  </si>
  <si>
    <t>Prototipo Figma - Flujos Completos  1-4</t>
  </si>
  <si>
    <t>SCRUM-130</t>
  </si>
  <si>
    <t>Prototipo Figma - Flujos Completos 5 - 8</t>
  </si>
  <si>
    <t>SCRUM-139</t>
  </si>
  <si>
    <t>Paso a Producción – Merge Develop -&gt; Main</t>
  </si>
  <si>
    <t>Sprint</t>
  </si>
  <si>
    <t>Juegos y métricas</t>
  </si>
  <si>
    <t>SCRUM-21</t>
  </si>
  <si>
    <t>Juegos (Memoria)</t>
  </si>
  <si>
    <t>SCRUM-22</t>
  </si>
  <si>
    <t>Juegos (Praxias)</t>
  </si>
  <si>
    <t>SCRUM-23</t>
  </si>
  <si>
    <t>Juegos (Atención)</t>
  </si>
  <si>
    <t>SCRUM-24</t>
  </si>
  <si>
    <t>Módulo de respiración guiada</t>
  </si>
  <si>
    <t>SCRUM-25</t>
  </si>
  <si>
    <t>Captura de métricas por sesión</t>
  </si>
  <si>
    <t>SCRUM-26</t>
  </si>
  <si>
    <t>Pruebas QA</t>
  </si>
  <si>
    <t>SCRUM-28</t>
  </si>
  <si>
    <t>FastAPI - endpoint/session/analyze</t>
  </si>
  <si>
    <t>SCRUM-76</t>
  </si>
  <si>
    <t>Configurar Firebase Storage</t>
  </si>
  <si>
    <t>SCRUM-201</t>
  </si>
  <si>
    <t>Documentación para Fase 2</t>
  </si>
  <si>
    <t>SCRUM-216</t>
  </si>
  <si>
    <t>Eliminar el modo "Solo jugar" y adaptar la app a 2 modos de uso</t>
  </si>
  <si>
    <t>SCRUM-217</t>
  </si>
  <si>
    <t>Indicar con claridad dónde está el error al crear cuenta e iniciar sesión</t>
  </si>
  <si>
    <t>SCRUM-218</t>
  </si>
  <si>
    <t>Mantener la sesión iniciada al volver a abrir la app</t>
  </si>
  <si>
    <t>Módulo cuidador y QR</t>
  </si>
  <si>
    <t>SCRUM-29</t>
  </si>
  <si>
    <t>Primera sesión de prueba con usuarios</t>
  </si>
  <si>
    <t>SCRUM-30</t>
  </si>
  <si>
    <t>Generación de QR por adulto mayor</t>
  </si>
  <si>
    <t>SCRUM-31</t>
  </si>
  <si>
    <t>Escaneo de QR por cuidador</t>
  </si>
  <si>
    <t>SCRUM-32</t>
  </si>
  <si>
    <t>Dashboard cuidador</t>
  </si>
  <si>
    <t>SCRUM-33</t>
  </si>
  <si>
    <t>Historial de resultados</t>
  </si>
  <si>
    <t>SCRUM-34</t>
  </si>
  <si>
    <t>Notificación push al cuidador</t>
  </si>
  <si>
    <t>SCRUM-35</t>
  </si>
  <si>
    <t>Vista de progreso personal</t>
  </si>
  <si>
    <t>SCRUM-36</t>
  </si>
  <si>
    <t>FastAPI – endpoint/report/generate</t>
  </si>
  <si>
    <t>SCRUM-37</t>
  </si>
  <si>
    <t>SCRUM-38</t>
  </si>
  <si>
    <t>Segunda sesión de pruebas con usuarios</t>
  </si>
  <si>
    <t>Privacidad, reporte y publicación</t>
  </si>
  <si>
    <t>SCRUM-39</t>
  </si>
  <si>
    <t>flujo ARCO completo</t>
  </si>
  <si>
    <t>SCRUM-40</t>
  </si>
  <si>
    <t>Desvinculación del cuidador</t>
  </si>
  <si>
    <t>SCRUM-41</t>
  </si>
  <si>
    <t>Reporte PDF exportable</t>
  </si>
  <si>
    <t>SCRUM-42</t>
  </si>
  <si>
    <t>Auditoría de lenguaje en toda la app</t>
  </si>
  <si>
    <t>SCRUM-43</t>
  </si>
  <si>
    <t>Pruebas de rendimiento en gama baja</t>
  </si>
  <si>
    <t>SCRUM-44</t>
  </si>
  <si>
    <t>SCRUM-45</t>
  </si>
  <si>
    <t>Tercera sesión de prueba con usuarios</t>
  </si>
  <si>
    <t>SCRUM-46</t>
  </si>
  <si>
    <t>Build de producción y publicación Play Store</t>
  </si>
  <si>
    <t>SCRUM-47</t>
  </si>
  <si>
    <t>Documentación final para transferencia</t>
  </si>
  <si>
    <t>Cierre propuesto</t>
  </si>
  <si>
    <t>PROP-01</t>
  </si>
  <si>
    <t>Cierre, defensa y transferencia final</t>
  </si>
  <si>
    <t>Equipo</t>
  </si>
  <si>
    <t>Propuesta</t>
  </si>
  <si>
    <t>Propuesto</t>
  </si>
  <si>
    <t>Método: inicio/fin propios de Jira cuando existen; en ausencia se usa el rango del sprint. Mixto combina ambos.</t>
  </si>
  <si>
    <t>Las dependencias están vacías para validarlas con el equipo. No se calculó ruta crítica ni se inventaron fechas reales.</t>
  </si>
  <si>
    <t>Avance: 100% si Jira indica Finalizado; en otras tareas, subtareas finalizadas / total. Sin detalle: vacío si está En curso.</t>
  </si>
  <si>
    <t>Datos originales y correspondencia con GitHub</t>
  </si>
  <si>
    <t>Tareas principales: consulta Jira 23/10/2026. Subtareas: copia inicial del mismo día.</t>
  </si>
  <si>
    <t>Jira: https://duocuc-team-auroracare.atlassian.net/issues/?jql=project%3DSCRUM</t>
  </si>
  <si>
    <t>Padre Jira</t>
  </si>
  <si>
    <t>Actividad</t>
  </si>
  <si>
    <t>Tipo</t>
  </si>
  <si>
    <t>Estado</t>
  </si>
  <si>
    <t>Inicio Jira</t>
  </si>
  <si>
    <t>Término Jira</t>
  </si>
  <si>
    <t>Inicio sprint</t>
  </si>
  <si>
    <t>Fin sprint</t>
  </si>
  <si>
    <t>Issue GitHub</t>
  </si>
  <si>
    <t>Enlace Jira</t>
  </si>
  <si>
    <t>Tarea</t>
  </si>
  <si>
    <t>Finalizado</t>
  </si>
  <si>
    <t>Sprint 1 - Fundamentos</t>
  </si>
  <si>
    <t>https://duocuc-team-auroracare.atlassian.net/browse/SCRUM-5</t>
  </si>
  <si>
    <t>https://duocuc-team-auroracare.atlassian.net/browse/SCRUM-6</t>
  </si>
  <si>
    <t>https://duocuc-team-auroracare.atlassian.net/browse/SCRUM-7</t>
  </si>
  <si>
    <t>https://duocuc-team-auroracare.atlassian.net/browse/SCRUM-8</t>
  </si>
  <si>
    <t>https://duocuc-team-auroracare.atlassian.net/browse/SCRUM-9</t>
  </si>
  <si>
    <t>https://duocuc-team-auroracare.atlassian.net/browse/SCRUM-10</t>
  </si>
  <si>
    <t>SCRUM-11</t>
  </si>
  <si>
    <t>Instalación – Daniela</t>
  </si>
  <si>
    <t>Subtask</t>
  </si>
  <si>
    <t>https://duocuc-team-auroracare.atlassian.net/browse/SCRUM-11</t>
  </si>
  <si>
    <t>SCRUM-12</t>
  </si>
  <si>
    <t>Instalación – Eduardo</t>
  </si>
  <si>
    <t>https://duocuc-team-auroracare.atlassian.net/browse/SCRUM-12</t>
  </si>
  <si>
    <t>SCRUM-13</t>
  </si>
  <si>
    <t>Instalación – Benjamín</t>
  </si>
  <si>
    <t>https://duocuc-team-auroracare.atlassian.net/browse/SCRUM-13</t>
  </si>
  <si>
    <t>Sprint 2 – Arquitectura y Auth</t>
  </si>
  <si>
    <t>https://duocuc-team-auroracare.atlassian.net/browse/SCRUM-14</t>
  </si>
  <si>
    <t>https://duocuc-team-auroracare.atlassian.net/browse/SCRUM-15</t>
  </si>
  <si>
    <t>https://duocuc-team-auroracare.atlassian.net/browse/SCRUM-16</t>
  </si>
  <si>
    <t>https://duocuc-team-auroracare.atlassian.net/browse/SCRUM-17</t>
  </si>
  <si>
    <t>https://duocuc-team-auroracare.atlassian.net/browse/SCRUM-18</t>
  </si>
  <si>
    <t>https://duocuc-team-auroracare.atlassian.net/browse/SCRUM-19</t>
  </si>
  <si>
    <t>https://duocuc-team-auroracare.atlassian.net/browse/SCRUM-20</t>
  </si>
  <si>
    <t>En curso</t>
  </si>
  <si>
    <t>Sprint 3 – Juegos y Métricas</t>
  </si>
  <si>
    <t>https://duocuc-team-auroracare.atlassian.net/browse/SCRUM-21</t>
  </si>
  <si>
    <t>https://duocuc-team-auroracare.atlassian.net/browse/SCRUM-22</t>
  </si>
  <si>
    <t>https://duocuc-team-auroracare.atlassian.net/browse/SCRUM-23</t>
  </si>
  <si>
    <t>https://duocuc-team-auroracare.atlassian.net/browse/SCRUM-24</t>
  </si>
  <si>
    <t>https://duocuc-team-auroracare.atlassian.net/browse/SCRUM-25</t>
  </si>
  <si>
    <t>Pendiente</t>
  </si>
  <si>
    <t>https://duocuc-team-auroracare.atlassian.net/browse/SCRUM-26</t>
  </si>
  <si>
    <t>https://duocuc-team-auroracare.atlassian.net/browse/SCRUM-28</t>
  </si>
  <si>
    <t>Sprint 4 – Módulo Cuidador QR</t>
  </si>
  <si>
    <t>https://duocuc-team-auroracare.atlassian.net/browse/SCRUM-29</t>
  </si>
  <si>
    <t>https://duocuc-team-auroracare.atlassian.net/browse/SCRUM-30</t>
  </si>
  <si>
    <t>https://duocuc-team-auroracare.atlassian.net/browse/SCRUM-31</t>
  </si>
  <si>
    <t>https://duocuc-team-auroracare.atlassian.net/browse/SCRUM-32</t>
  </si>
  <si>
    <t>https://duocuc-team-auroracare.atlassian.net/browse/SCRUM-33</t>
  </si>
  <si>
    <t>https://duocuc-team-auroracare.atlassian.net/browse/SCRUM-34</t>
  </si>
  <si>
    <t>https://duocuc-team-auroracare.atlassian.net/browse/SCRUM-35</t>
  </si>
  <si>
    <t>https://duocuc-team-auroracare.atlassian.net/browse/SCRUM-36</t>
  </si>
  <si>
    <t>https://duocuc-team-auroracare.atlassian.net/browse/SCRUM-37</t>
  </si>
  <si>
    <t>https://duocuc-team-auroracare.atlassian.net/browse/SCRUM-38</t>
  </si>
  <si>
    <t>Sprint 5 – Privacidad/ Reporte</t>
  </si>
  <si>
    <t>https://duocuc-team-auroracare.atlassian.net/browse/SCRUM-39</t>
  </si>
  <si>
    <t>https://duocuc-team-auroracare.atlassian.net/browse/SCRUM-40</t>
  </si>
  <si>
    <t>https://duocuc-team-auroracare.atlassian.net/browse/SCRUM-41</t>
  </si>
  <si>
    <t>https://duocuc-team-auroracare.atlassian.net/browse/SCRUM-42</t>
  </si>
  <si>
    <t>https://duocuc-team-auroracare.atlassian.net/browse/SCRUM-43</t>
  </si>
  <si>
    <t>https://duocuc-team-auroracare.atlassian.net/browse/SCRUM-44</t>
  </si>
  <si>
    <t>https://duocuc-team-auroracare.atlassian.net/browse/SCRUM-45</t>
  </si>
  <si>
    <t>https://duocuc-team-auroracare.atlassian.net/browse/SCRUM-46</t>
  </si>
  <si>
    <t>https://duocuc-team-auroracare.atlassian.net/browse/SCRUM-47</t>
  </si>
  <si>
    <t>SCRUM-48</t>
  </si>
  <si>
    <t>Definir flujo técnico y contrato entre Flutter, FastAPI y OpenAI</t>
  </si>
  <si>
    <t>https://duocuc-team-auroracare.atlassian.net/browse/SCRUM-48</t>
  </si>
  <si>
    <t>SCRUM-49</t>
  </si>
  <si>
    <t>Configurar cliente OpenAI y credenciales en el backend</t>
  </si>
  <si>
    <t>https://duocuc-team-auroracare.atlassian.net/browse/SCRUM-49</t>
  </si>
  <si>
    <t>SCRUM-50</t>
  </si>
  <si>
    <t>Implementar endpoint en FastAPI que reciba texto y llame a OpenAI</t>
  </si>
  <si>
    <t>https://duocuc-team-auroracare.atlassian.net/browse/SCRUM-50</t>
  </si>
  <si>
    <t>SCRUM-51</t>
  </si>
  <si>
    <t>Conectar la pantalla Flutter con el endpoint de FastAPI</t>
  </si>
  <si>
    <t>https://duocuc-team-auroracare.atlassian.net/browse/SCRUM-51</t>
  </si>
  <si>
    <t>SCRUM-52</t>
  </si>
  <si>
    <t>Mostrar la respuesta de OpenAI en la UI de Flutter</t>
  </si>
  <si>
    <t>https://duocuc-team-auroracare.atlassian.net/browse/SCRUM-52</t>
  </si>
  <si>
    <t>SCRUM-53</t>
  </si>
  <si>
    <t>Validar el flujo end-to-end y corregir errores</t>
  </si>
  <si>
    <t>https://duocuc-team-auroracare.atlassian.net/browse/SCRUM-53</t>
  </si>
  <si>
    <t>SCRUM-54</t>
  </si>
  <si>
    <t>Crear y registrar el proyecto en Firebase</t>
  </si>
  <si>
    <t>https://duocuc-team-auroracare.atlassian.net/browse/SCRUM-54</t>
  </si>
  <si>
    <t>SCRUM-55</t>
  </si>
  <si>
    <t>Configurar Firebase Authentication</t>
  </si>
  <si>
    <t>https://duocuc-team-auroracare.atlassian.net/browse/SCRUM-55</t>
  </si>
  <si>
    <t>SCRUM-56</t>
  </si>
  <si>
    <t>Configurar Firestore y su estructura inicial</t>
  </si>
  <si>
    <t>https://duocuc-team-auroracare.atlassian.net/browse/SCRUM-56</t>
  </si>
  <si>
    <t>SCRUM-57</t>
  </si>
  <si>
    <t>https://duocuc-team-auroracare.atlassian.net/browse/SCRUM-57</t>
  </si>
  <si>
    <t>SCRUM-58</t>
  </si>
  <si>
    <t>Configurar Firebase Analytics</t>
  </si>
  <si>
    <t>https://duocuc-team-auroracare.atlassian.net/browse/SCRUM-58</t>
  </si>
  <si>
    <t>SCRUM-59</t>
  </si>
  <si>
    <t>Implementar reglas de seguridad base de Firebase</t>
  </si>
  <si>
    <t>https://duocuc-team-auroracare.atlassian.net/browse/SCRUM-59</t>
  </si>
  <si>
    <t>SCRUM-60</t>
  </si>
  <si>
    <t>Verificar credenciales y variables de entorno de Firebase</t>
  </si>
  <si>
    <t>https://duocuc-team-auroracare.atlassian.net/browse/SCRUM-60</t>
  </si>
  <si>
    <t>SCRUM-61</t>
  </si>
  <si>
    <t>Preparar y revisar ARCHITECTURE.md para la reunión de kickoff</t>
  </si>
  <si>
    <t>https://duocuc-team-auroracare.atlassian.net/browse/SCRUM-61</t>
  </si>
  <si>
    <t>SCRUM-62</t>
  </si>
  <si>
    <t>Preparar y revisar USER_FLOWS.md para la reunión de kickoff</t>
  </si>
  <si>
    <t>https://duocuc-team-auroracare.atlassian.net/browse/SCRUM-62</t>
  </si>
  <si>
    <t>SCRUM-63</t>
  </si>
  <si>
    <t>Preparar y revisar SCORING.md para la reunión de kickoff</t>
  </si>
  <si>
    <t>https://duocuc-team-auroracare.atlassian.net/browse/SCRUM-63</t>
  </si>
  <si>
    <t>SCRUM-64</t>
  </si>
  <si>
    <t>Definir y asignar módulos del equipo</t>
  </si>
  <si>
    <t>https://duocuc-team-auroracare.atlassian.net/browse/SCRUM-64</t>
  </si>
  <si>
    <t>SCRUM-65</t>
  </si>
  <si>
    <t>Acordar la rutina de trabajo del equipo</t>
  </si>
  <si>
    <t>https://duocuc-team-auroracare.atlassian.net/browse/SCRUM-65</t>
  </si>
  <si>
    <t>SCRUM-66</t>
  </si>
  <si>
    <t>Documentar acuerdos y próximos pasos del kickoff</t>
  </si>
  <si>
    <t>https://duocuc-team-auroracare.atlassian.net/browse/SCRUM-66</t>
  </si>
  <si>
    <t>SCRUM-67</t>
  </si>
  <si>
    <t>Configurar el repositorio en GitHub</t>
  </si>
  <si>
    <t>https://duocuc-team-auroracare.atlassian.net/browse/SCRUM-67</t>
  </si>
  <si>
    <t>SCRUM-68</t>
  </si>
  <si>
    <t>Crear y dejar preparada la estructura inicial de carpetas del repositorio</t>
  </si>
  <si>
    <t>https://duocuc-team-auroracare.atlassian.net/browse/SCRUM-68</t>
  </si>
  <si>
    <t>SCRUM-69</t>
  </si>
  <si>
    <t>Configurar las ramas principales main y develop</t>
  </si>
  <si>
    <t>https://duocuc-team-auroracare.atlassian.net/browse/SCRUM-69</t>
  </si>
  <si>
    <t>SCRUM-70</t>
  </si>
  <si>
    <t>Añadir archivos base de configuración del repositorio (.gitignore y README)</t>
  </si>
  <si>
    <t>https://duocuc-team-auroracare.atlassian.net/browse/SCRUM-70</t>
  </si>
  <si>
    <t>SCRUM-71</t>
  </si>
  <si>
    <t>Crear el workspace de Jira para Team AuroraCare</t>
  </si>
  <si>
    <t>https://duocuc-team-auroracare.atlassian.net/browse/SCRUM-71</t>
  </si>
  <si>
    <t>SCRUM-72</t>
  </si>
  <si>
    <t>Cargar y configurar todos los sprints</t>
  </si>
  <si>
    <t>https://duocuc-team-auroracare.atlassian.net/browse/SCRUM-72</t>
  </si>
  <si>
    <t>SCRUM-73</t>
  </si>
  <si>
    <t>Invitar a Benjamín y Eduardo al workspace</t>
  </si>
  <si>
    <t>https://duocuc-team-auroracare.atlassian.net/browse/SCRUM-73</t>
  </si>
  <si>
    <t>SCRUM-74</t>
  </si>
  <si>
    <t>Asignar las tareas existentes a los responsables</t>
  </si>
  <si>
    <t>https://duocuc-team-auroracare.atlassian.net/browse/SCRUM-74</t>
  </si>
  <si>
    <t>SCRUM-75</t>
  </si>
  <si>
    <t>Validar la configuración inicial de Jira</t>
  </si>
  <si>
    <t>https://duocuc-team-auroracare.atlassian.net/browse/SCRUM-75</t>
  </si>
  <si>
    <t>https://duocuc-team-auroracare.atlassian.net/browse/SCRUM-76</t>
  </si>
  <si>
    <t>SCRUM-77</t>
  </si>
  <si>
    <t>Definir la arquitectura de capas de Flutter</t>
  </si>
  <si>
    <t>https://duocuc-team-auroracare.atlassian.net/browse/SCRUM-77</t>
  </si>
  <si>
    <t>SCRUM-78</t>
  </si>
  <si>
    <t>Crear la estructura de carpetas del proyecto</t>
  </si>
  <si>
    <t>https://duocuc-team-auroracare.atlassian.net/browse/SCRUM-78</t>
  </si>
  <si>
    <t>SCRUM-79</t>
  </si>
  <si>
    <t>Configurar modelos y entidades base</t>
  </si>
  <si>
    <t>https://duocuc-team-auroracare.atlassian.net/browse/SCRUM-79</t>
  </si>
  <si>
    <t>SCRUM-80</t>
  </si>
  <si>
    <t>Implementar contratos de repositorio y casos de uso</t>
  </si>
  <si>
    <t>https://duocuc-team-auroracare.atlassian.net/browse/SCRUM-80</t>
  </si>
  <si>
    <t>SCRUM-81</t>
  </si>
  <si>
    <t>Configurar inyección de dependencias</t>
  </si>
  <si>
    <t>https://duocuc-team-auroracare.atlassian.net/browse/SCRUM-81</t>
  </si>
  <si>
    <t>SCRUM-82</t>
  </si>
  <si>
    <t>Definir la gestión de estado de la capa de presentación</t>
  </si>
  <si>
    <t>https://duocuc-team-auroracare.atlassian.net/browse/SCRUM-82</t>
  </si>
  <si>
    <t>SCRUM-83</t>
  </si>
  <si>
    <t>Crear ejemplos o plantilla de flujo entre capas</t>
  </si>
  <si>
    <t>https://duocuc-team-auroracare.atlassian.net/browse/SCRUM-83</t>
  </si>
  <si>
    <t>SCRUM-84</t>
  </si>
  <si>
    <t>Documentar la estructura de capas y normas de uso</t>
  </si>
  <si>
    <t>https://duocuc-team-auroracare.atlassian.net/browse/SCRUM-84</t>
  </si>
  <si>
    <t>https://duocuc-team-auroracare.atlassian.net/browse/SCRUM-85</t>
  </si>
  <si>
    <t>SCRUM-86</t>
  </si>
  <si>
    <t>Diseñar la pantalla de registro de cuidador</t>
  </si>
  <si>
    <t>https://duocuc-team-auroracare.atlassian.net/browse/SCRUM-86</t>
  </si>
  <si>
    <t>SCRUM-87</t>
  </si>
  <si>
    <t>Diseñar la pantalla de lectura de código QR</t>
  </si>
  <si>
    <t>https://duocuc-team-auroracare.atlassian.net/browse/SCRUM-87</t>
  </si>
  <si>
    <t>SCRUM-88</t>
  </si>
  <si>
    <t>Diseñar la pantalla de progreso del cuidador</t>
  </si>
  <si>
    <t>https://duocuc-team-auroracare.atlassian.net/browse/SCRUM-88</t>
  </si>
  <si>
    <t>SCRUM-89</t>
  </si>
  <si>
    <t>Diseñar la pantalla de reporte del cuidador</t>
  </si>
  <si>
    <t>https://duocuc-team-auroracare.atlassian.net/browse/SCRUM-89</t>
  </si>
  <si>
    <t>SCRUM-90</t>
  </si>
  <si>
    <t>Definir componentes reutilizables para el flujo de cuidador</t>
  </si>
  <si>
    <t>https://duocuc-team-auroracare.atlassian.net/browse/SCRUM-90</t>
  </si>
  <si>
    <t>SCRUM-91</t>
  </si>
  <si>
    <t>Ajustar navegación y flujo entre pantallas de cuidador</t>
  </si>
  <si>
    <t>https://duocuc-team-auroracare.atlassian.net/browse/SCRUM-91</t>
  </si>
  <si>
    <t>SCRUM-92</t>
  </si>
  <si>
    <t>Diseñar la pantalla de bienvenida</t>
  </si>
  <si>
    <t>https://duocuc-team-auroracare.atlassian.net/browse/SCRUM-92</t>
  </si>
  <si>
    <t>SCRUM-93</t>
  </si>
  <si>
    <t>Implementar la pantalla de registro con email y contraseña</t>
  </si>
  <si>
    <t>https://duocuc-team-auroracare.atlassian.net/browse/SCRUM-93</t>
  </si>
  <si>
    <t>SCRUM-94</t>
  </si>
  <si>
    <t>Implementar la pantalla de inicio de sesión</t>
  </si>
  <si>
    <t>https://duocuc-team-auroracare.atlassian.net/browse/SCRUM-94</t>
  </si>
  <si>
    <t>SCRUM-95</t>
  </si>
  <si>
    <t>Implementar la recuperación de contraseña</t>
  </si>
  <si>
    <t>https://duocuc-team-auroracare.atlassian.net/browse/SCRUM-95</t>
  </si>
  <si>
    <t>SCRUM-96</t>
  </si>
  <si>
    <t>Maquetar pantalla visual del disclaimer médico</t>
  </si>
  <si>
    <t>https://duocuc-team-auroracare.atlassian.net/browse/SCRUM-96</t>
  </si>
  <si>
    <t>SCRUM-97</t>
  </si>
  <si>
    <t>Implementar bloqueo de acceso sin aceptación</t>
  </si>
  <si>
    <t>https://duocuc-team-auroracare.atlassian.net/browse/SCRUM-97</t>
  </si>
  <si>
    <t>SCRUM-98</t>
  </si>
  <si>
    <t>Conectar navegación desde flujo previo</t>
  </si>
  <si>
    <t>https://duocuc-team-auroracare.atlassian.net/browse/SCRUM-98</t>
  </si>
  <si>
    <t>SCRUM-99</t>
  </si>
  <si>
    <t>Widget test de la pantalla</t>
  </si>
  <si>
    <t>https://duocuc-team-auroracare.atlassian.net/browse/SCRUM-99</t>
  </si>
  <si>
    <t>SCRUM-100</t>
  </si>
  <si>
    <t>Definir el formato y la lógica de generación del UUID anónimo</t>
  </si>
  <si>
    <t>https://duocuc-team-auroracare.atlassian.net/browse/SCRUM-100</t>
  </si>
  <si>
    <t>SCRUM-101</t>
  </si>
  <si>
    <t>Validar la persistencia y recuperación del UUID anónimo</t>
  </si>
  <si>
    <t>https://duocuc-team-auroracare.atlassian.net/browse/SCRUM-101</t>
  </si>
  <si>
    <t>SCRUM-102</t>
  </si>
  <si>
    <t>Integrar el UUID anónimo en el flujo de la aplicación</t>
  </si>
  <si>
    <t>https://duocuc-team-auroracare.atlassian.net/browse/SCRUM-102</t>
  </si>
  <si>
    <t>SCRUM-103</t>
  </si>
  <si>
    <t>Crear pruebas para la generación de UUID anónimo</t>
  </si>
  <si>
    <t>https://duocuc-team-auroracare.atlassian.net/browse/SCRUM-103</t>
  </si>
  <si>
    <t>SCRUM-111</t>
  </si>
  <si>
    <t>Crear el mapa de navegación y estructura del prototipo</t>
  </si>
  <si>
    <t>https://duocuc-team-auroracare.atlassian.net/browse/SCRUM-111</t>
  </si>
  <si>
    <t>SCRUM-112</t>
  </si>
  <si>
    <t>Diseñar wireframes de baja fidelidad para los flujos</t>
  </si>
  <si>
    <t>https://duocuc-team-auroracare.atlassian.net/browse/SCRUM-112</t>
  </si>
  <si>
    <t>SCRUM-113</t>
  </si>
  <si>
    <t>Diseñar la interfaz visual de alta fidelidad</t>
  </si>
  <si>
    <t>https://duocuc-team-auroracare.atlassian.net/browse/SCRUM-113</t>
  </si>
  <si>
    <t>SCRUM-114</t>
  </si>
  <si>
    <t>Definir los flujos completos a prototipar</t>
  </si>
  <si>
    <t>https://duocuc-team-auroracare.atlassian.net/browse/SCRUM-114</t>
  </si>
  <si>
    <t>SCRUM-115</t>
  </si>
  <si>
    <t>Configurar interacciones y transiciones del prototipo</t>
  </si>
  <si>
    <t>https://duocuc-team-auroracare.atlassian.net/browse/SCRUM-115</t>
  </si>
  <si>
    <t>SCRUM-116</t>
  </si>
  <si>
    <t>Revisar consistencia de componentes y estados</t>
  </si>
  <si>
    <t>https://duocuc-team-auroracare.atlassian.net/browse/SCRUM-116</t>
  </si>
  <si>
    <t>SCRUM-117</t>
  </si>
  <si>
    <t>Validar el recorrido completo de usuario</t>
  </si>
  <si>
    <t>https://duocuc-team-auroracare.atlassian.net/browse/SCRUM-117</t>
  </si>
  <si>
    <t>SCRUM-118</t>
  </si>
  <si>
    <t>Preparar el archivo Figma para compartición y entrega</t>
  </si>
  <si>
    <t>https://duocuc-team-auroracare.atlassian.net/browse/SCRUM-118</t>
  </si>
  <si>
    <t>SCRUM-119</t>
  </si>
  <si>
    <t>Implementar la pantalla de selección de modo de uso</t>
  </si>
  <si>
    <t>https://duocuc-team-auroracare.atlassian.net/browse/SCRUM-119</t>
  </si>
  <si>
    <t>SCRUM-120</t>
  </si>
  <si>
    <t>Manejar errores y estados de carga en la selección de modo</t>
  </si>
  <si>
    <t>https://duocuc-team-auroracare.atlassian.net/browse/SCRUM-120</t>
  </si>
  <si>
    <t>SCRUM-121</t>
  </si>
  <si>
    <t>Cargar y preseleccionar el modo guardado del usuario</t>
  </si>
  <si>
    <t>https://duocuc-team-auroracare.atlassian.net/browse/SCRUM-121</t>
  </si>
  <si>
    <t>SCRUM-122</t>
  </si>
  <si>
    <t>Diseñar el contenido de los 2 modos en lenguaje simple</t>
  </si>
  <si>
    <t>https://duocuc-team-auroracare.atlassian.net/browse/SCRUM-122</t>
  </si>
  <si>
    <t>SCRUM-123</t>
  </si>
  <si>
    <t>Persistir el modo seleccionado en Firestore</t>
  </si>
  <si>
    <t>https://duocuc-team-auroracare.atlassian.net/browse/SCRUM-123</t>
  </si>
  <si>
    <t>https://duocuc-team-auroracare.atlassian.net/browse/SCRUM-124</t>
  </si>
  <si>
    <t>SCRUM-125</t>
  </si>
  <si>
    <t>Identificar tareas de programación bloqueadas</t>
  </si>
  <si>
    <t>https://duocuc-team-auroracare.atlassian.net/browse/SCRUM-125</t>
  </si>
  <si>
    <t>SCRUM-126</t>
  </si>
  <si>
    <t>Analizar dependencias y causas de bloqueo</t>
  </si>
  <si>
    <t>https://duocuc-team-auroracare.atlassian.net/browse/SCRUM-126</t>
  </si>
  <si>
    <t>SCRUM-127</t>
  </si>
  <si>
    <t>Resolver impedimentos de las tareas bloqueadas</t>
  </si>
  <si>
    <t>https://duocuc-team-auroracare.atlassian.net/browse/SCRUM-127</t>
  </si>
  <si>
    <t>SCRUM-128</t>
  </si>
  <si>
    <t>Comunicar el estado de desbloqueo al equipo</t>
  </si>
  <si>
    <t>https://duocuc-team-auroracare.atlassian.net/browse/SCRUM-128</t>
  </si>
  <si>
    <t>https://duocuc-team-auroracare.atlassian.net/browse/SCRUM-129</t>
  </si>
  <si>
    <t>https://duocuc-team-auroracare.atlassian.net/browse/SCRUM-130</t>
  </si>
  <si>
    <t>SCRUM-131</t>
  </si>
  <si>
    <t>Diseñar el flujo completo 2 en Figma</t>
  </si>
  <si>
    <t>https://duocuc-team-auroracare.atlassian.net/browse/SCRUM-131</t>
  </si>
  <si>
    <t>SCRUM-132</t>
  </si>
  <si>
    <t>Diseñar el flujo completo 4 en Figma</t>
  </si>
  <si>
    <t>https://duocuc-team-auroracare.atlassian.net/browse/SCRUM-132</t>
  </si>
  <si>
    <t>SCRUM-133</t>
  </si>
  <si>
    <t>Definir la estructura y navegación base del prototipo en Figma</t>
  </si>
  <si>
    <t>https://duocuc-team-auroracare.atlassian.net/browse/SCRUM-133</t>
  </si>
  <si>
    <t>SCRUM-134</t>
  </si>
  <si>
    <t>Diseñar el flujo completo 1 en Figma</t>
  </si>
  <si>
    <t>https://duocuc-team-auroracare.atlassian.net/browse/SCRUM-134</t>
  </si>
  <si>
    <t>SCRUM-135</t>
  </si>
  <si>
    <t>Diseñar el flujo completo 3 en Figma</t>
  </si>
  <si>
    <t>https://duocuc-team-auroracare.atlassian.net/browse/SCRUM-135</t>
  </si>
  <si>
    <t>SCRUM-136</t>
  </si>
  <si>
    <t>Revisar consistencia visual y de componentes entre los flujos 1-4</t>
  </si>
  <si>
    <t>https://duocuc-team-auroracare.atlassian.net/browse/SCRUM-136</t>
  </si>
  <si>
    <t>SCRUM-137</t>
  </si>
  <si>
    <t>Configurar interacciones y prototipado clicable de todos los flujos</t>
  </si>
  <si>
    <t>https://duocuc-team-auroracare.atlassian.net/browse/SCRUM-137</t>
  </si>
  <si>
    <t>SCRUM-138</t>
  </si>
  <si>
    <t>Preparar revisión final y ajustes del prototipo</t>
  </si>
  <si>
    <t>https://duocuc-team-auroracare.atlassian.net/browse/SCRUM-138</t>
  </si>
  <si>
    <t>https://duocuc-team-auroracare.atlassian.net/browse/SCRUM-139</t>
  </si>
  <si>
    <t>SCRUM-140</t>
  </si>
  <si>
    <t>Implementar la lógica de volteo y emparejamiento de cartas</t>
  </si>
  <si>
    <t>https://duocuc-team-auroracare.atlassian.net/browse/SCRUM-140</t>
  </si>
  <si>
    <t>SCRUM-141</t>
  </si>
  <si>
    <t>Gestionar estados de fin de partida</t>
  </si>
  <si>
    <t>https://duocuc-team-auroracare.atlassian.net/browse/SCRUM-141</t>
  </si>
  <si>
    <t>SCRUM-142</t>
  </si>
  <si>
    <t>Agregar barajado aleatorio y reinicio de partida</t>
  </si>
  <si>
    <t>https://duocuc-team-auroracare.atlassian.net/browse/SCRUM-142</t>
  </si>
  <si>
    <t>SCRUM-143</t>
  </si>
  <si>
    <t>Incorporar sistema de puntuación o contador de intentos</t>
  </si>
  <si>
    <t>https://duocuc-team-auroracare.atlassian.net/browse/SCRUM-143</t>
  </si>
  <si>
    <t>SCRUM-144</t>
  </si>
  <si>
    <t>Diseñar la pantalla del juego de memoria</t>
  </si>
  <si>
    <t>https://duocuc-team-auroracare.atlassian.net/browse/SCRUM-144</t>
  </si>
  <si>
    <t>SCRUM-145</t>
  </si>
  <si>
    <t>Validar interacción y bloqueo temporal de cartas</t>
  </si>
  <si>
    <t>https://duocuc-team-auroracare.atlassian.net/browse/SCRUM-145</t>
  </si>
  <si>
    <t>SCRUM-146</t>
  </si>
  <si>
    <t>Adaptar el juego para accesibilidad y uso táctil</t>
  </si>
  <si>
    <t>https://duocuc-team-auroracare.atlassian.net/browse/SCRUM-146</t>
  </si>
  <si>
    <t>SCRUM-147</t>
  </si>
  <si>
    <t>Probar la funcionalidad del juego de memoria</t>
  </si>
  <si>
    <t>https://duocuc-team-auroracare.atlassian.net/browse/SCRUM-147</t>
  </si>
  <si>
    <t>SCRUM-148</t>
  </si>
  <si>
    <t>Crear la interfaz visual y recursos gráficos</t>
  </si>
  <si>
    <t>https://duocuc-team-auroracare.atlassian.net/browse/SCRUM-148</t>
  </si>
  <si>
    <t>SCRUM-149</t>
  </si>
  <si>
    <t>Definir alcance funcional de los juegos de praxias</t>
  </si>
  <si>
    <t>https://duocuc-team-auroracare.atlassian.net/browse/SCRUM-149</t>
  </si>
  <si>
    <t>SCRUM-150</t>
  </si>
  <si>
    <t>Configurar contenidos y ejercicios de praxias</t>
  </si>
  <si>
    <t>https://duocuc-team-auroracare.atlassian.net/browse/SCRUM-150</t>
  </si>
  <si>
    <t>SCRUM-151</t>
  </si>
  <si>
    <t>Diseñar la estructura y navegación de la experiencia</t>
  </si>
  <si>
    <t>https://duocuc-team-auroracare.atlassian.net/browse/SCRUM-151</t>
  </si>
  <si>
    <t>SCRUM-152</t>
  </si>
  <si>
    <t>Implementar la lógica base de los juegos</t>
  </si>
  <si>
    <t>https://duocuc-team-auroracare.atlassian.net/browse/SCRUM-152</t>
  </si>
  <si>
    <t>SCRUM-153</t>
  </si>
  <si>
    <t>Agregar sistema de puntuación o progreso</t>
  </si>
  <si>
    <t>https://duocuc-team-auroracare.atlassian.net/browse/SCRUM-153</t>
  </si>
  <si>
    <t>SCRUM-154</t>
  </si>
  <si>
    <t>Incorporar feedback al usuario</t>
  </si>
  <si>
    <t>https://duocuc-team-auroracare.atlassian.net/browse/SCRUM-154</t>
  </si>
  <si>
    <t>SCRUM-155</t>
  </si>
  <si>
    <t>Probar la usabilidad y funcionamiento de los juegos</t>
  </si>
  <si>
    <t>https://duocuc-team-auroracare.atlassian.net/browse/SCRUM-155</t>
  </si>
  <si>
    <t>SCRUM-156</t>
  </si>
  <si>
    <t>Probar el funcionamiento y corregir errores</t>
  </si>
  <si>
    <t>https://duocuc-team-auroracare.atlassian.net/browse/SCRUM-156</t>
  </si>
  <si>
    <t>SCRUM-157</t>
  </si>
  <si>
    <t>Diseñar la experiencia de usuario y las pantallas del juego</t>
  </si>
  <si>
    <t>https://duocuc-team-auroracare.atlassian.net/browse/SCRUM-157</t>
  </si>
  <si>
    <t>SCRUM-158</t>
  </si>
  <si>
    <t>Definir el alcance y los requisitos de los juegos de atención</t>
  </si>
  <si>
    <t>https://duocuc-team-auroracare.atlassian.net/browse/SCRUM-158</t>
  </si>
  <si>
    <t>SCRUM-159</t>
  </si>
  <si>
    <t>Integrar elementos visuales y de interacción</t>
  </si>
  <si>
    <t>https://duocuc-team-auroracare.atlassian.net/browse/SCRUM-159</t>
  </si>
  <si>
    <t>SCRUM-160</t>
  </si>
  <si>
    <t>Implementar la lógica principal de los juegos</t>
  </si>
  <si>
    <t>https://duocuc-team-auroracare.atlassian.net/browse/SCRUM-160</t>
  </si>
  <si>
    <t>SCRUM-161</t>
  </si>
  <si>
    <t>Configurar patrones o sesiones predefinidas</t>
  </si>
  <si>
    <t>https://duocuc-team-auroracare.atlassian.net/browse/SCRUM-161</t>
  </si>
  <si>
    <t>SCRUM-162</t>
  </si>
  <si>
    <t>Implementar pausa, reanudación y finalización de sesión</t>
  </si>
  <si>
    <t>https://duocuc-team-auroracare.atlassian.net/browse/SCRUM-162</t>
  </si>
  <si>
    <t>SCRUM-163</t>
  </si>
  <si>
    <t>Crear la lógica del temporizador y ciclos</t>
  </si>
  <si>
    <t>https://duocuc-team-auroracare.atlassian.net/browse/SCRUM-163</t>
  </si>
  <si>
    <t>SCRUM-164</t>
  </si>
  <si>
    <t>Diseñar la experiencia de respiración guiada</t>
  </si>
  <si>
    <t>https://duocuc-team-auroracare.atlassian.net/browse/SCRUM-164</t>
  </si>
  <si>
    <t>SCRUM-165</t>
  </si>
  <si>
    <t>Implementar la interfaz de sesión de respiración</t>
  </si>
  <si>
    <t>https://duocuc-team-auroracare.atlassian.net/browse/SCRUM-165</t>
  </si>
  <si>
    <t>SCRUM-166</t>
  </si>
  <si>
    <t>Guardar el progreso o preferencias de usuario</t>
  </si>
  <si>
    <t>https://duocuc-team-auroracare.atlassian.net/browse/SCRUM-166</t>
  </si>
  <si>
    <t>SCRUM-167</t>
  </si>
  <si>
    <t>Añadir accesibilidad al módulo</t>
  </si>
  <si>
    <t>https://duocuc-team-auroracare.atlassian.net/browse/SCRUM-167</t>
  </si>
  <si>
    <t>SCRUM-168</t>
  </si>
  <si>
    <t>Probar la sincronización visual y temporal</t>
  </si>
  <si>
    <t>https://duocuc-team-auroracare.atlassian.net/browse/SCRUM-168</t>
  </si>
  <si>
    <t>SCRUM-169</t>
  </si>
  <si>
    <t>Exponer consulta o acceso a las métricas por sesión</t>
  </si>
  <si>
    <t>https://duocuc-team-auroracare.atlassian.net/browse/SCRUM-169</t>
  </si>
  <si>
    <t>SCRUM-170</t>
  </si>
  <si>
    <t>Definir las métricas a capturar por sesión</t>
  </si>
  <si>
    <t>https://duocuc-team-auroracare.atlassian.net/browse/SCRUM-170</t>
  </si>
  <si>
    <t>SCRUM-171</t>
  </si>
  <si>
    <t>Implementar la instrumentación de captura de métricas</t>
  </si>
  <si>
    <t>https://duocuc-team-auroracare.atlassian.net/browse/SCRUM-171</t>
  </si>
  <si>
    <t>SCRUM-172</t>
  </si>
  <si>
    <t>Persistir las métricas por sesión en el almacenamiento correspondiente</t>
  </si>
  <si>
    <t>https://duocuc-team-auroracare.atlassian.net/browse/SCRUM-172</t>
  </si>
  <si>
    <t>SCRUM-173</t>
  </si>
  <si>
    <t>Agregar validaciones y manejo de errores en la captura</t>
  </si>
  <si>
    <t>https://duocuc-team-auroracare.atlassian.net/browse/SCRUM-173</t>
  </si>
  <si>
    <t>SCRUM-174</t>
  </si>
  <si>
    <t>Cubrir la captura de métricas por sesión con pruebas</t>
  </si>
  <si>
    <t>https://duocuc-team-auroracare.atlassian.net/browse/SCRUM-174</t>
  </si>
  <si>
    <t>SCRUM-175</t>
  </si>
  <si>
    <t>Preparar entorno y datos de prueba</t>
  </si>
  <si>
    <t>https://duocuc-team-auroracare.atlassian.net/browse/SCRUM-175</t>
  </si>
  <si>
    <t>SCRUM-176</t>
  </si>
  <si>
    <t>Definir alcance y plan de pruebas QA</t>
  </si>
  <si>
    <t>https://duocuc-team-auroracare.atlassian.net/browse/SCRUM-176</t>
  </si>
  <si>
    <t>SCRUM-177</t>
  </si>
  <si>
    <t>Ejecutar pruebas funcionales</t>
  </si>
  <si>
    <t>https://duocuc-team-auroracare.atlassian.net/browse/SCRUM-177</t>
  </si>
  <si>
    <t>SCRUM-178</t>
  </si>
  <si>
    <t>Diseñar casos de prueba funcionales</t>
  </si>
  <si>
    <t>https://duocuc-team-auroracare.atlassian.net/browse/SCRUM-178</t>
  </si>
  <si>
    <t>SCRUM-179</t>
  </si>
  <si>
    <t>Validar flujos de regresión</t>
  </si>
  <si>
    <t>https://duocuc-team-auroracare.atlassian.net/browse/SCRUM-179</t>
  </si>
  <si>
    <t>SCRUM-180</t>
  </si>
  <si>
    <t>Registrar y clasificar incidencias detectadas</t>
  </si>
  <si>
    <t>https://duocuc-team-auroracare.atlassian.net/browse/SCRUM-180</t>
  </si>
  <si>
    <t>SCRUM-181</t>
  </si>
  <si>
    <t>Verificar correcciones de incidencias</t>
  </si>
  <si>
    <t>https://duocuc-team-auroracare.atlassian.net/browse/SCRUM-181</t>
  </si>
  <si>
    <t>SCRUM-182</t>
  </si>
  <si>
    <t>Cerrar y reportar resultados de QA</t>
  </si>
  <si>
    <t>https://duocuc-team-auroracare.atlassian.net/browse/SCRUM-182</t>
  </si>
  <si>
    <t>SCRUM-183</t>
  </si>
  <si>
    <t>Validate input and handle analysis errors</t>
  </si>
  <si>
    <t>https://duocuc-team-auroracare.atlassian.net/browse/SCRUM-183</t>
  </si>
  <si>
    <t>SCRUM-184</t>
  </si>
  <si>
    <t>Implement the FastAPI /session/analyze endpoint</t>
  </si>
  <si>
    <t>https://duocuc-team-auroracare.atlassian.net/browse/SCRUM-184</t>
  </si>
  <si>
    <t>SCRUM-185</t>
  </si>
  <si>
    <t>Define the request/response contract for the session analysis endpoint</t>
  </si>
  <si>
    <t>https://duocuc-team-auroracare.atlassian.net/browse/SCRUM-185</t>
  </si>
  <si>
    <t>SCRUM-186</t>
  </si>
  <si>
    <t>Create automated tests for the session analysis endpoint</t>
  </si>
  <si>
    <t>https://duocuc-team-auroracare.atlassian.net/browse/SCRUM-186</t>
  </si>
  <si>
    <t>SCRUM-187</t>
  </si>
  <si>
    <t>Add session lookup and analysis processing logic</t>
  </si>
  <si>
    <t>https://duocuc-team-auroracare.atlassian.net/browse/SCRUM-187</t>
  </si>
  <si>
    <t>SCRUM-188</t>
  </si>
  <si>
    <t>Document the session analysis endpoint</t>
  </si>
  <si>
    <t>https://duocuc-team-auroracare.atlassian.net/browse/SCRUM-188</t>
  </si>
  <si>
    <t>SCRUM-189</t>
  </si>
  <si>
    <t>Realizar la sesión de prueba con usuarios</t>
  </si>
  <si>
    <t>Sin asignar</t>
  </si>
  <si>
    <t>https://duocuc-team-auroracare.atlassian.net/browse/SCRUM-189</t>
  </si>
  <si>
    <t>SCRUM-190</t>
  </si>
  <si>
    <t>Seleccionar y confirmar participantes</t>
  </si>
  <si>
    <t>https://duocuc-team-auroracare.atlassian.net/browse/SCRUM-190</t>
  </si>
  <si>
    <t>SCRUM-191</t>
  </si>
  <si>
    <t>Preparar materiales y entorno de prueba</t>
  </si>
  <si>
    <t>https://duocuc-team-auroracare.atlassian.net/browse/SCRUM-191</t>
  </si>
  <si>
    <t>SCRUM-192</t>
  </si>
  <si>
    <t>Documentar hallazgos y aprendizajes</t>
  </si>
  <si>
    <t>https://duocuc-team-auroracare.atlassian.net/browse/SCRUM-192</t>
  </si>
  <si>
    <t>SCRUM-193</t>
  </si>
  <si>
    <t>Definir objetivos y guion de la sesión de prueba</t>
  </si>
  <si>
    <t>https://duocuc-team-auroracare.atlassian.net/browse/SCRUM-193</t>
  </si>
  <si>
    <t>SCRUM-194</t>
  </si>
  <si>
    <t>Elaborar informe de resultados y próximos pasos</t>
  </si>
  <si>
    <t>https://duocuc-team-auroracare.atlassian.net/browse/SCRUM-194</t>
  </si>
  <si>
    <t>SCRUM-195</t>
  </si>
  <si>
    <t>Definir estructura base de carpetas y convenciones de archivos en el bucket</t>
  </si>
  <si>
    <t>https://duocuc-team-auroracare.atlassian.net/browse/SCRUM-195</t>
  </si>
  <si>
    <t>SCRUM-196</t>
  </si>
  <si>
    <t>Configurar credenciales y variables de entorno para Firebase Storage</t>
  </si>
  <si>
    <t>https://duocuc-team-auroracare.atlassian.net/browse/SCRUM-196</t>
  </si>
  <si>
    <t>SCRUM-197</t>
  </si>
  <si>
    <t>Integrar Firebase Storage en la aplicación</t>
  </si>
  <si>
    <t>https://duocuc-team-auroracare.atlassian.net/browse/SCRUM-197</t>
  </si>
  <si>
    <t>SCRUM-198</t>
  </si>
  <si>
    <t>Definir y aplicar reglas de seguridad de Firebase Storage</t>
  </si>
  <si>
    <t>https://duocuc-team-auroracare.atlassian.net/browse/SCRUM-198</t>
  </si>
  <si>
    <t>SCRUM-199</t>
  </si>
  <si>
    <t>Probar carga y descarga de archivos en Firebase Storage</t>
  </si>
  <si>
    <t>https://duocuc-team-auroracare.atlassian.net/browse/SCRUM-199</t>
  </si>
  <si>
    <t>SCRUM-200</t>
  </si>
  <si>
    <t>Documentar el uso de Firebase Storage para el equipo</t>
  </si>
  <si>
    <t>https://duocuc-team-auroracare.atlassian.net/browse/SCRUM-200</t>
  </si>
  <si>
    <t>https://duocuc-team-auroracare.atlassian.net/browse/SCRUM-201</t>
  </si>
  <si>
    <t>SCRUM-202</t>
  </si>
  <si>
    <t>Diseñar en Figma el flujo completo 5</t>
  </si>
  <si>
    <t>https://duocuc-team-auroracare.atlassian.net/browse/SCRUM-202</t>
  </si>
  <si>
    <t>SCRUM-203</t>
  </si>
  <si>
    <t>Diseñar en Figma el flujo completo 8</t>
  </si>
  <si>
    <t>https://duocuc-team-auroracare.atlassian.net/browse/SCRUM-203</t>
  </si>
  <si>
    <t>SCRUM-204</t>
  </si>
  <si>
    <t>Diseñar en Figma el flujo completo 6</t>
  </si>
  <si>
    <t>https://duocuc-team-auroracare.atlassian.net/browse/SCRUM-204</t>
  </si>
  <si>
    <t>SCRUM-205</t>
  </si>
  <si>
    <t>Definir el alcance y contenido de los flujos 5 a 8</t>
  </si>
  <si>
    <t>https://duocuc-team-auroracare.atlassian.net/browse/SCRUM-205</t>
  </si>
  <si>
    <t>SCRUM-206</t>
  </si>
  <si>
    <t>Diseñar en Figma el flujo completo 7</t>
  </si>
  <si>
    <t>https://duocuc-team-auroracare.atlassian.net/browse/SCRUM-206</t>
  </si>
  <si>
    <t>SCRUM-207</t>
  </si>
  <si>
    <t>Revisar consistencia y ajustar enlaces del prototipo Figma</t>
  </si>
  <si>
    <t>https://duocuc-team-auroracare.atlassian.net/browse/SCRUM-207</t>
  </si>
  <si>
    <t>SCRUM-208</t>
  </si>
  <si>
    <t>Diseñar y documentar casos de prueba</t>
  </si>
  <si>
    <t>https://duocuc-team-auroracare.atlassian.net/browse/SCRUM-208</t>
  </si>
  <si>
    <t>SCRUM-209</t>
  </si>
  <si>
    <t>Ejecutar pruebas funcionales manuales</t>
  </si>
  <si>
    <t>https://duocuc-team-auroracare.atlassian.net/browse/SCRUM-209</t>
  </si>
  <si>
    <t>SCRUM-210</t>
  </si>
  <si>
    <t>Preparar el entorno y datos de prueba</t>
  </si>
  <si>
    <t>https://duocuc-team-auroracare.atlassian.net/browse/SCRUM-210</t>
  </si>
  <si>
    <t>SCRUM-211</t>
  </si>
  <si>
    <t>Definir alcance y criterios de aceptación de las pruebas QA</t>
  </si>
  <si>
    <t>https://duocuc-team-auroracare.atlassian.net/browse/SCRUM-211</t>
  </si>
  <si>
    <t>SCRUM-212</t>
  </si>
  <si>
    <t>Ejecutar pruebas de regresión</t>
  </si>
  <si>
    <t>https://duocuc-team-auroracare.atlassian.net/browse/SCRUM-212</t>
  </si>
  <si>
    <t>SCRUM-213</t>
  </si>
  <si>
    <t>Validar correcciones y realizar re-pruebas</t>
  </si>
  <si>
    <t>https://duocuc-team-auroracare.atlassian.net/browse/SCRUM-213</t>
  </si>
  <si>
    <t>SCRUM-214</t>
  </si>
  <si>
    <t>Cerrar evidencias y resumen de resultados QA</t>
  </si>
  <si>
    <t>https://duocuc-team-auroracare.atlassian.net/browse/SCRUM-214</t>
  </si>
  <si>
    <t>SCRUM-215</t>
  </si>
  <si>
    <t>Registrar y dar seguimiento a incidencias detectadas</t>
  </si>
  <si>
    <t>https://duocuc-team-auroracare.atlassian.net/browse/SCRUM-215</t>
  </si>
  <si>
    <t>https://duocuc-team-auroracare.atlassian.net/browse/SCRUM-216</t>
  </si>
  <si>
    <t>https://duocuc-team-auroracare.atlassian.net/browse/SCRUM-217</t>
  </si>
  <si>
    <t>https://duocuc-team-auroracare.atlassian.net/browse/SCRUM-218</t>
  </si>
  <si>
    <t>SCRUM-219</t>
  </si>
  <si>
    <t>Actualizar el prototipo Figma (F3 y F4) a 2 modos: quitar la tarjeta "Solo jugar" y la pantalla "Resultado Modo 1".</t>
  </si>
  <si>
    <t>https://duocuc-team-auroracare.atlassian.net/browse/SCRUM-219</t>
  </si>
  <si>
    <t>SCRUM-220</t>
  </si>
  <si>
    <t>Registrar el cambio en USER_FLOWS y ARCHITECTURE, con aprobación de Daniela.</t>
  </si>
  <si>
    <t>https://duocuc-team-auroracare.atlassian.net/browse/SCRUM-220</t>
  </si>
  <si>
    <t>SCRUM-221</t>
  </si>
  <si>
    <t>Cambiar la pantalla de selección de modo a 2 tarjetas.</t>
  </si>
  <si>
    <t>https://duocuc-team-auroracare.atlassian.net/browse/SCRUM-221</t>
  </si>
  <si>
    <t>SCRUM-222</t>
  </si>
  <si>
    <t>Crear la pantalla "Mi modo de uso" (cambio de modo desde Mi perfil).</t>
  </si>
  <si>
    <t>https://duocuc-team-auroracare.atlassian.net/browse/SCRUM-222</t>
  </si>
  <si>
    <t>SCRUM-223</t>
  </si>
  <si>
    <t>Implementar el aviso de advertencia y la confirmación al bajar de Modo 3 a Modo 2.</t>
  </si>
  <si>
    <t>https://duocuc-team-auroracare.atlassian.net/browse/SCRUM-223</t>
  </si>
  <si>
    <t>SCRUM-224</t>
  </si>
  <si>
    <t>Mostrar u ocultar opciones según el modo activo.</t>
  </si>
  <si>
    <t>https://duocuc-team-auroracare.atlassian.net/browse/SCRUM-224</t>
  </si>
  <si>
    <t>SCRUM-225</t>
  </si>
  <si>
    <t>Retirar toda referencia al Modo 1 del código y actualizar los widget tests.</t>
  </si>
  <si>
    <t>https://duocuc-team-auroracare.atlassian.net/browse/SCRUM-225</t>
  </si>
  <si>
    <t>SCRUM-226</t>
  </si>
  <si>
    <t>Listar los errores que devuelve hoy el repositorio de autenticación y definir la tabla error, campo y mensaje.</t>
  </si>
  <si>
    <t>https://duocuc-team-auroracare.atlassian.net/browse/SCRUM-226</t>
  </si>
  <si>
    <t>SCRUM-227</t>
  </si>
  <si>
    <t>Actualizar en Figma las pantallas de error de registro y login (borde rojo e ícono).</t>
  </si>
  <si>
    <t>https://duocuc-team-auroracare.atlassian.net/browse/SCRUM-227</t>
  </si>
  <si>
    <t>SCRUM-228</t>
  </si>
  <si>
    <t>Mostrar los errores por campo en Crear cuenta.</t>
  </si>
  <si>
    <t>https://duocuc-team-auroracare.atlassian.net/browse/SCRUM-228</t>
  </si>
  <si>
    <t>SCRUM-229</t>
  </si>
  <si>
    <t>Mostrar los errores en Iniciar sesión (validación local y credenciales incorrectas).</t>
  </si>
  <si>
    <t>https://duocuc-team-auroracare.atlassian.net/browse/SCRUM-229</t>
  </si>
  <si>
    <t>SCRUM-230</t>
  </si>
  <si>
    <t>Agregar el mensaje general para errores de conexión, demasiados intentos y cuenta deshabilitada.</t>
  </si>
  <si>
    <t>https://duocuc-team-auroracare.atlassian.net/browse/SCRUM-230</t>
  </si>
  <si>
    <t>SCRUM-231</t>
  </si>
  <si>
    <t>Widget tests de cada caso.</t>
  </si>
  <si>
    <t>https://duocuc-team-auroracare.atlassian.net/browse/SCRUM-231</t>
  </si>
  <si>
    <t>SCRUM-232</t>
  </si>
  <si>
    <t>Acordar con Daniela qué expone el repositorio: usuario actual y lectura del perfil users/{uid}.</t>
  </si>
  <si>
    <t>https://duocuc-team-auroracare.atlassian.net/browse/SCRUM-232</t>
  </si>
  <si>
    <t>SCRUM-233</t>
  </si>
  <si>
    <t>Crear la pantalla de carga inicial.</t>
  </si>
  <si>
    <t>https://duocuc-team-auroracare.atlassian.net/browse/SCRUM-233</t>
  </si>
  <si>
    <t>SCRUM-234</t>
  </si>
  <si>
    <t>Implementar la puerta de entrada de la app (decide entre Bienvenida, paso pendiente del onboarding o Pantalla principal).</t>
  </si>
  <si>
    <t>https://duocuc-team-auroracare.atlassian.net/browse/SCRUM-234</t>
  </si>
  <si>
    <t>SCRUM-235</t>
  </si>
  <si>
    <t>Mostrar nombre y modo reales en Inicio y Mi perfil, en reemplazo del nombre provisorio.</t>
  </si>
  <si>
    <t>https://duocuc-team-auroracare.atlassian.net/browse/SCRUM-235</t>
  </si>
  <si>
    <t>SCRUM-236</t>
  </si>
  <si>
    <t>Ajustar el cierre de sesión a la nueva puerta de entrada.</t>
  </si>
  <si>
    <t>https://duocuc-team-auroracare.atlassian.net/browse/SCRUM-236</t>
  </si>
  <si>
    <t>SCRUM-237</t>
  </si>
  <si>
    <t>Manejar casos borde (sin conexión, cuenta eliminada).</t>
  </si>
  <si>
    <t>https://duocuc-team-auroracare.atlassian.net/browse/SCRUM-237</t>
  </si>
  <si>
    <t>SCRUM-238</t>
  </si>
  <si>
    <t>Widget tests y prueba en el teléfono.</t>
  </si>
  <si>
    <t>https://duocuc-team-auroracare.atlassian.net/browse/SCRUM-238</t>
  </si>
  <si>
    <t>SCRUM-239</t>
  </si>
  <si>
    <t>https://duocuc-team-auroracare.atlassian.net/browse/SCRUM-239</t>
  </si>
  <si>
    <t xml:space="preserve">Propuesta de cierre: 07-20/12/2026, según período de entrega del README del Project. </t>
  </si>
  <si>
    <t xml:space="preserve">GitHub: https://github.com/users/Franky1764/projects/1.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</si>
</sst>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"/>
    <numFmt numFmtId="166" formatCode=";;;"/>
  </numFmts>
  <fonts count="6">
    <font>
      <sz val="11"/>
      <name val="Carlito"/>
    </font>
    <font>
      <sz val="10"/>
      <color rgb="FF243248"/>
      <name val="Arial"/>
      <family val="2"/>
    </font>
    <font>
      <b/>
      <sz val="16"/>
      <color rgb="FF243248"/>
      <name val="Arial"/>
      <family val="2"/>
    </font>
    <font>
      <sz val="10"/>
      <color rgb="FF596579"/>
      <name val="Arial"/>
      <family val="2"/>
    </font>
    <font>
      <b/>
      <sz val="14"/>
      <color rgb="FF243248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82B44"/>
      </patternFill>
    </fill>
    <fill>
      <patternFill patternType="solid">
        <fgColor rgb="FF315A84"/>
      </patternFill>
    </fill>
    <fill>
      <patternFill patternType="solid">
        <fgColor rgb="FFE9F3F0"/>
      </patternFill>
    </fill>
    <fill>
      <patternFill patternType="solid">
        <fgColor rgb="FFFFF6DC"/>
      </patternFill>
    </fill>
    <fill>
      <patternFill patternType="solid">
        <fgColor rgb="FFFFF0CF"/>
      </patternFill>
    </fill>
    <fill>
      <patternFill patternType="solid">
        <fgColor rgb="FF6D5E98"/>
      </patternFill>
    </fill>
    <fill>
      <patternFill patternType="solid">
        <fgColor rgb="FF258779"/>
      </patternFill>
    </fill>
    <fill>
      <patternFill patternType="solid">
        <fgColor rgb="FFBC7B35"/>
      </patternFill>
    </fill>
    <fill>
      <patternFill patternType="solid">
        <fgColor rgb="FFA75D76"/>
      </patternFill>
    </fill>
    <fill>
      <patternFill patternType="solid">
        <fgColor rgb="FF8B6A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9" fontId="1" fillId="0" borderId="0" xfId="0" applyNumberFormat="1" applyFont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4" fontId="1" fillId="6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</cellXfs>
  <cellStyles count="1">
    <cellStyle name="Normal" xfId="0" builtinId="0"/>
  </cellStyles>
  <dxfs count="18">
    <dxf>
      <fill>
        <patternFill patternType="solid">
          <bgColor rgb="FF245C48"/>
        </patternFill>
      </fill>
    </dxf>
    <dxf>
      <fill>
        <patternFill patternType="solid">
          <bgColor rgb="FF8B6A35"/>
        </patternFill>
      </fill>
    </dxf>
    <dxf>
      <fill>
        <patternFill patternType="solid">
          <bgColor rgb="FF245C48"/>
        </patternFill>
      </fill>
    </dxf>
    <dxf>
      <fill>
        <patternFill patternType="solid">
          <bgColor rgb="FFA75D76"/>
        </patternFill>
      </fill>
    </dxf>
    <dxf>
      <fill>
        <patternFill patternType="solid">
          <bgColor rgb="FF245C48"/>
        </patternFill>
      </fill>
    </dxf>
    <dxf>
      <fill>
        <patternFill patternType="solid">
          <bgColor rgb="FFBC7B35"/>
        </patternFill>
      </fill>
    </dxf>
    <dxf>
      <fill>
        <patternFill patternType="solid">
          <bgColor rgb="FF245C48"/>
        </patternFill>
      </fill>
    </dxf>
    <dxf>
      <fill>
        <patternFill patternType="solid">
          <bgColor rgb="FF258779"/>
        </patternFill>
      </fill>
    </dxf>
    <dxf>
      <fill>
        <patternFill patternType="solid">
          <bgColor rgb="FF245C48"/>
        </patternFill>
      </fill>
    </dxf>
    <dxf>
      <fill>
        <patternFill patternType="solid">
          <bgColor rgb="FF6D5E98"/>
        </patternFill>
      </fill>
    </dxf>
    <dxf>
      <fill>
        <patternFill patternType="solid">
          <bgColor rgb="FF245C48"/>
        </patternFill>
      </fill>
    </dxf>
    <dxf>
      <fill>
        <patternFill patternType="solid">
          <bgColor rgb="FF315A84"/>
        </patternFill>
      </fill>
    </dxf>
    <dxf>
      <font>
        <color rgb="FF9C2525"/>
      </font>
      <fill>
        <patternFill patternType="solid">
          <bgColor rgb="FFFBD7D3"/>
        </patternFill>
      </fill>
    </dxf>
    <dxf>
      <font>
        <color rgb="FF9C2525"/>
      </font>
      <fill>
        <patternFill patternType="solid">
          <bgColor rgb="FFFBD7D3"/>
        </patternFill>
      </fill>
    </dxf>
    <dxf>
      <font>
        <color rgb="FF9C2525"/>
      </font>
      <fill>
        <patternFill patternType="solid">
          <bgColor rgb="FFFBD7D3"/>
        </patternFill>
      </fill>
    </dxf>
    <dxf>
      <font>
        <color rgb="FF9C2525"/>
      </font>
      <fill>
        <patternFill patternType="solid">
          <bgColor rgb="FFFBD7D3"/>
        </patternFill>
      </fill>
    </dxf>
    <dxf>
      <font>
        <color rgb="FF9C2525"/>
      </font>
      <fill>
        <patternFill patternType="solid">
          <bgColor rgb="FFFBD7D3"/>
        </patternFill>
      </fill>
    </dxf>
    <dxf>
      <font>
        <color rgb="FF9C2525"/>
      </font>
      <fill>
        <patternFill patternType="solid">
          <bgColor rgb="FFFBD7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Jira" displayName="DatosJira" ref="A7:M234" totalsRowShown="0">
  <tableColumns count="13">
    <tableColumn id="1" xr3:uid="{00000000-0010-0000-0000-000001000000}" name="Clave"/>
    <tableColumn id="2" xr3:uid="{00000000-0010-0000-0000-000002000000}" name="Padre Jira"/>
    <tableColumn id="3" xr3:uid="{00000000-0010-0000-0000-000003000000}" name="Actividad"/>
    <tableColumn id="4" xr3:uid="{00000000-0010-0000-0000-000004000000}" name="Tipo"/>
    <tableColumn id="5" xr3:uid="{00000000-0010-0000-0000-000005000000}" name="Estado"/>
    <tableColumn id="6" xr3:uid="{00000000-0010-0000-0000-000006000000}" name="Responsable"/>
    <tableColumn id="7" xr3:uid="{00000000-0010-0000-0000-000007000000}" name="Inicio Jira"/>
    <tableColumn id="8" xr3:uid="{00000000-0010-0000-0000-000008000000}" name="Término Jira"/>
    <tableColumn id="9" xr3:uid="{00000000-0010-0000-0000-000009000000}" name="Sprint"/>
    <tableColumn id="10" xr3:uid="{00000000-0010-0000-0000-00000A000000}" name="Inicio sprint"/>
    <tableColumn id="11" xr3:uid="{00000000-0010-0000-0000-00000B000000}" name="Fin sprint"/>
    <tableColumn id="12" xr3:uid="{00000000-0010-0000-0000-00000C000000}" name="Issue GitHub"/>
    <tableColumn id="13" xr3:uid="{00000000-0010-0000-0000-00000D000000}" name="Enlace Ji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2B44"/>
  </sheetPr>
  <dimension ref="A1:AB77"/>
  <sheetViews>
    <sheetView showGridLines="0" tabSelected="1" workbookViewId="0">
      <pane xSplit="3" ySplit="9" topLeftCell="J10" activePane="bottomRight" state="frozen"/>
      <selection pane="topRight"/>
      <selection pane="bottomLeft"/>
      <selection pane="bottomRight" activeCell="L3" sqref="L3"/>
    </sheetView>
  </sheetViews>
  <sheetFormatPr baseColWidth="10" defaultColWidth="8.83203125" defaultRowHeight="14"/>
  <cols>
    <col min="1" max="1" width="15" customWidth="1"/>
    <col min="2" max="2" width="58" customWidth="1"/>
    <col min="3" max="5" width="16" customWidth="1"/>
    <col min="6" max="7" width="15" customWidth="1"/>
    <col min="8" max="10" width="12" customWidth="1"/>
    <col min="11" max="11" width="16" customWidth="1"/>
    <col min="12" max="12" width="24" customWidth="1"/>
    <col min="13" max="28" width="6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6" customHeight="1">
      <c r="A9" s="8" t="s">
        <v>4</v>
      </c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8" t="s">
        <v>13</v>
      </c>
      <c r="K9" s="8" t="s">
        <v>14</v>
      </c>
      <c r="L9" s="8" t="s">
        <v>15</v>
      </c>
      <c r="M9" s="9">
        <v>46265</v>
      </c>
      <c r="N9" s="9">
        <v>46272</v>
      </c>
      <c r="O9" s="9">
        <v>46279</v>
      </c>
      <c r="P9" s="9">
        <v>46286</v>
      </c>
      <c r="Q9" s="9">
        <v>46293</v>
      </c>
      <c r="R9" s="9">
        <v>46300</v>
      </c>
      <c r="S9" s="9">
        <v>46307</v>
      </c>
      <c r="T9" s="9">
        <v>46314</v>
      </c>
      <c r="U9" s="9">
        <v>46321</v>
      </c>
      <c r="V9" s="9">
        <v>46328</v>
      </c>
      <c r="W9" s="9">
        <v>46335</v>
      </c>
      <c r="X9" s="9">
        <v>46342</v>
      </c>
      <c r="Y9" s="9">
        <v>46349</v>
      </c>
      <c r="Z9" s="9">
        <v>46356</v>
      </c>
      <c r="AA9" s="9">
        <v>46363</v>
      </c>
      <c r="AB9" s="9">
        <v>46370</v>
      </c>
    </row>
    <row r="10" spans="1:28" ht="25" customHeight="1">
      <c r="A10" s="10"/>
      <c r="B10" s="10" t="s">
        <v>16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35" customHeight="1">
      <c r="A11" s="1" t="s">
        <v>17</v>
      </c>
      <c r="B11" s="7" t="s">
        <v>18</v>
      </c>
      <c r="C11" s="1" t="s">
        <v>19</v>
      </c>
      <c r="D11" s="12">
        <f>IF('Datos Jira'!G8="",'Datos Jira'!J8,'Datos Jira'!G8)</f>
        <v>46265</v>
      </c>
      <c r="E11" s="12">
        <f>IF('Datos Jira'!H8="",'Datos Jira'!K8,'Datos Jira'!H8)</f>
        <v>46270</v>
      </c>
      <c r="F11" s="1" t="s">
        <v>20</v>
      </c>
      <c r="G11" s="1" t="str">
        <f>'Datos Jira'!E8</f>
        <v>Finalizado</v>
      </c>
      <c r="H11" s="1">
        <f>COUNTIFS('Datos Jira'!$B$8:$B$234,A11)</f>
        <v>3</v>
      </c>
      <c r="I11" s="1">
        <f>COUNTIFS('Datos Jira'!$B$8:$B$234,A11,'Datos Jira'!$E$8:$E$234,"Finalizado")</f>
        <v>3</v>
      </c>
      <c r="J11" s="11">
        <f t="shared" ref="J11:J16" si="0">IF(G11="Finalizado",1,IF(H11&gt;0,I11/H11,IF(G11="Pendiente",0,"")))</f>
        <v>1</v>
      </c>
      <c r="K11" s="1">
        <f t="shared" ref="K11:K16" si="1">E11-D11+1</f>
        <v>6</v>
      </c>
      <c r="L11" s="13"/>
      <c r="M11" s="14">
        <f t="shared" ref="M11:AB16" si="2">IF(AND($D11&lt;=M$9+6,$E11&gt;=M$9),IF(AND(ISNUMBER($J11),M$9&lt;=$D11+($E11-$D11+1)*$J11-1),2,1),0)</f>
        <v>2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</row>
    <row r="12" spans="1:28" ht="35" customHeight="1">
      <c r="A12" s="1" t="s">
        <v>21</v>
      </c>
      <c r="B12" s="7" t="s">
        <v>22</v>
      </c>
      <c r="C12" s="1" t="s">
        <v>19</v>
      </c>
      <c r="D12" s="15">
        <f>IF('Datos Jira'!G9="",'Datos Jira'!J9,'Datos Jira'!G9)</f>
        <v>46265</v>
      </c>
      <c r="E12" s="15">
        <f>IF('Datos Jira'!H9="",'Datos Jira'!K9,'Datos Jira'!H9)</f>
        <v>46278</v>
      </c>
      <c r="F12" s="1" t="s">
        <v>23</v>
      </c>
      <c r="G12" s="1" t="str">
        <f>'Datos Jira'!E9</f>
        <v>Finalizado</v>
      </c>
      <c r="H12" s="1">
        <f>COUNTIFS('Datos Jira'!$B$8:$B$234,A12)</f>
        <v>4</v>
      </c>
      <c r="I12" s="1">
        <f>COUNTIFS('Datos Jira'!$B$8:$B$234,A12,'Datos Jira'!$E$8:$E$234,"Finalizado")</f>
        <v>4</v>
      </c>
      <c r="J12" s="11">
        <f t="shared" si="0"/>
        <v>1</v>
      </c>
      <c r="K12" s="1">
        <f t="shared" si="1"/>
        <v>14</v>
      </c>
      <c r="L12" s="13"/>
      <c r="M12" s="14">
        <f t="shared" si="2"/>
        <v>2</v>
      </c>
      <c r="N12" s="14">
        <f t="shared" si="2"/>
        <v>2</v>
      </c>
      <c r="O12" s="14">
        <f t="shared" si="2"/>
        <v>0</v>
      </c>
      <c r="P12" s="14">
        <f t="shared" si="2"/>
        <v>0</v>
      </c>
      <c r="Q12" s="14">
        <f t="shared" si="2"/>
        <v>0</v>
      </c>
      <c r="R12" s="14">
        <f t="shared" si="2"/>
        <v>0</v>
      </c>
      <c r="S12" s="14">
        <f t="shared" si="2"/>
        <v>0</v>
      </c>
      <c r="T12" s="14">
        <f t="shared" si="2"/>
        <v>0</v>
      </c>
      <c r="U12" s="14">
        <f t="shared" si="2"/>
        <v>0</v>
      </c>
      <c r="V12" s="14">
        <f t="shared" si="2"/>
        <v>0</v>
      </c>
      <c r="W12" s="14">
        <f t="shared" si="2"/>
        <v>0</v>
      </c>
      <c r="X12" s="14">
        <f t="shared" si="2"/>
        <v>0</v>
      </c>
      <c r="Y12" s="14">
        <f t="shared" si="2"/>
        <v>0</v>
      </c>
      <c r="Z12" s="14">
        <f t="shared" si="2"/>
        <v>0</v>
      </c>
      <c r="AA12" s="14">
        <f t="shared" si="2"/>
        <v>0</v>
      </c>
      <c r="AB12" s="14">
        <f t="shared" si="2"/>
        <v>0</v>
      </c>
    </row>
    <row r="13" spans="1:28" ht="35" customHeight="1">
      <c r="A13" s="1" t="s">
        <v>24</v>
      </c>
      <c r="B13" s="7" t="s">
        <v>25</v>
      </c>
      <c r="C13" s="1" t="s">
        <v>19</v>
      </c>
      <c r="D13" s="15">
        <f>IF('Datos Jira'!G10="",'Datos Jira'!J10,'Datos Jira'!G10)</f>
        <v>46265</v>
      </c>
      <c r="E13" s="15">
        <f>IF('Datos Jira'!H10="",'Datos Jira'!K10,'Datos Jira'!H10)</f>
        <v>46278</v>
      </c>
      <c r="F13" s="1" t="s">
        <v>23</v>
      </c>
      <c r="G13" s="1" t="str">
        <f>'Datos Jira'!E10</f>
        <v>Finalizado</v>
      </c>
      <c r="H13" s="1">
        <f>COUNTIFS('Datos Jira'!$B$8:$B$234,A13)</f>
        <v>6</v>
      </c>
      <c r="I13" s="1">
        <f>COUNTIFS('Datos Jira'!$B$8:$B$234,A13,'Datos Jira'!$E$8:$E$234,"Finalizado")</f>
        <v>6</v>
      </c>
      <c r="J13" s="11">
        <f t="shared" si="0"/>
        <v>1</v>
      </c>
      <c r="K13" s="1">
        <f t="shared" si="1"/>
        <v>14</v>
      </c>
      <c r="L13" s="13"/>
      <c r="M13" s="14">
        <f t="shared" si="2"/>
        <v>2</v>
      </c>
      <c r="N13" s="14">
        <f t="shared" si="2"/>
        <v>2</v>
      </c>
      <c r="O13" s="14">
        <f t="shared" si="2"/>
        <v>0</v>
      </c>
      <c r="P13" s="14">
        <f t="shared" si="2"/>
        <v>0</v>
      </c>
      <c r="Q13" s="14">
        <f t="shared" si="2"/>
        <v>0</v>
      </c>
      <c r="R13" s="14">
        <f t="shared" si="2"/>
        <v>0</v>
      </c>
      <c r="S13" s="14">
        <f t="shared" si="2"/>
        <v>0</v>
      </c>
      <c r="T13" s="14">
        <f t="shared" si="2"/>
        <v>0</v>
      </c>
      <c r="U13" s="14">
        <f t="shared" si="2"/>
        <v>0</v>
      </c>
      <c r="V13" s="14">
        <f t="shared" si="2"/>
        <v>0</v>
      </c>
      <c r="W13" s="14">
        <f t="shared" si="2"/>
        <v>0</v>
      </c>
      <c r="X13" s="14">
        <f t="shared" si="2"/>
        <v>0</v>
      </c>
      <c r="Y13" s="14">
        <f t="shared" si="2"/>
        <v>0</v>
      </c>
      <c r="Z13" s="14">
        <f t="shared" si="2"/>
        <v>0</v>
      </c>
      <c r="AA13" s="14">
        <f t="shared" si="2"/>
        <v>0</v>
      </c>
      <c r="AB13" s="14">
        <f t="shared" si="2"/>
        <v>0</v>
      </c>
    </row>
    <row r="14" spans="1:28" ht="35" customHeight="1">
      <c r="A14" s="1" t="s">
        <v>26</v>
      </c>
      <c r="B14" s="7" t="s">
        <v>27</v>
      </c>
      <c r="C14" s="1" t="s">
        <v>19</v>
      </c>
      <c r="D14" s="12">
        <f>IF('Datos Jira'!G11="",'Datos Jira'!J11,'Datos Jira'!G11)</f>
        <v>46267</v>
      </c>
      <c r="E14" s="12">
        <f>IF('Datos Jira'!H11="",'Datos Jira'!K11,'Datos Jira'!H11)</f>
        <v>46278</v>
      </c>
      <c r="F14" s="1" t="s">
        <v>20</v>
      </c>
      <c r="G14" s="1" t="str">
        <f>'Datos Jira'!E11</f>
        <v>Finalizado</v>
      </c>
      <c r="H14" s="1">
        <f>COUNTIFS('Datos Jira'!$B$8:$B$234,A14)</f>
        <v>6</v>
      </c>
      <c r="I14" s="1">
        <f>COUNTIFS('Datos Jira'!$B$8:$B$234,A14,'Datos Jira'!$E$8:$E$234,"Finalizado")</f>
        <v>6</v>
      </c>
      <c r="J14" s="11">
        <f t="shared" si="0"/>
        <v>1</v>
      </c>
      <c r="K14" s="1">
        <f t="shared" si="1"/>
        <v>12</v>
      </c>
      <c r="L14" s="13"/>
      <c r="M14" s="14">
        <f t="shared" si="2"/>
        <v>2</v>
      </c>
      <c r="N14" s="14">
        <f t="shared" si="2"/>
        <v>2</v>
      </c>
      <c r="O14" s="14">
        <f t="shared" si="2"/>
        <v>0</v>
      </c>
      <c r="P14" s="14">
        <f t="shared" si="2"/>
        <v>0</v>
      </c>
      <c r="Q14" s="14">
        <f t="shared" si="2"/>
        <v>0</v>
      </c>
      <c r="R14" s="14">
        <f t="shared" si="2"/>
        <v>0</v>
      </c>
      <c r="S14" s="14">
        <f t="shared" si="2"/>
        <v>0</v>
      </c>
      <c r="T14" s="14">
        <f t="shared" si="2"/>
        <v>0</v>
      </c>
      <c r="U14" s="14">
        <f t="shared" si="2"/>
        <v>0</v>
      </c>
      <c r="V14" s="14">
        <f t="shared" si="2"/>
        <v>0</v>
      </c>
      <c r="W14" s="14">
        <f t="shared" si="2"/>
        <v>0</v>
      </c>
      <c r="X14" s="14">
        <f t="shared" si="2"/>
        <v>0</v>
      </c>
      <c r="Y14" s="14">
        <f t="shared" si="2"/>
        <v>0</v>
      </c>
      <c r="Z14" s="14">
        <f t="shared" si="2"/>
        <v>0</v>
      </c>
      <c r="AA14" s="14">
        <f t="shared" si="2"/>
        <v>0</v>
      </c>
      <c r="AB14" s="14">
        <f t="shared" si="2"/>
        <v>0</v>
      </c>
    </row>
    <row r="15" spans="1:28" ht="35" customHeight="1">
      <c r="A15" s="1" t="s">
        <v>28</v>
      </c>
      <c r="B15" s="7" t="s">
        <v>29</v>
      </c>
      <c r="C15" s="1" t="s">
        <v>19</v>
      </c>
      <c r="D15" s="15">
        <f>IF('Datos Jira'!G12="",'Datos Jira'!J12,'Datos Jira'!G12)</f>
        <v>46265</v>
      </c>
      <c r="E15" s="15">
        <f>IF('Datos Jira'!H12="",'Datos Jira'!K12,'Datos Jira'!H12)</f>
        <v>46270</v>
      </c>
      <c r="F15" s="1" t="s">
        <v>23</v>
      </c>
      <c r="G15" s="1" t="str">
        <f>'Datos Jira'!E12</f>
        <v>Finalizado</v>
      </c>
      <c r="H15" s="1">
        <f>COUNTIFS('Datos Jira'!$B$8:$B$234,A15)</f>
        <v>5</v>
      </c>
      <c r="I15" s="1">
        <f>COUNTIFS('Datos Jira'!$B$8:$B$234,A15,'Datos Jira'!$E$8:$E$234,"Finalizado")</f>
        <v>5</v>
      </c>
      <c r="J15" s="11">
        <f t="shared" si="0"/>
        <v>1</v>
      </c>
      <c r="K15" s="1">
        <f t="shared" si="1"/>
        <v>6</v>
      </c>
      <c r="L15" s="13"/>
      <c r="M15" s="14">
        <f t="shared" si="2"/>
        <v>2</v>
      </c>
      <c r="N15" s="14">
        <f t="shared" si="2"/>
        <v>0</v>
      </c>
      <c r="O15" s="14">
        <f t="shared" si="2"/>
        <v>0</v>
      </c>
      <c r="P15" s="14">
        <f t="shared" si="2"/>
        <v>0</v>
      </c>
      <c r="Q15" s="14">
        <f t="shared" si="2"/>
        <v>0</v>
      </c>
      <c r="R15" s="14">
        <f t="shared" si="2"/>
        <v>0</v>
      </c>
      <c r="S15" s="14">
        <f t="shared" si="2"/>
        <v>0</v>
      </c>
      <c r="T15" s="14">
        <f t="shared" si="2"/>
        <v>0</v>
      </c>
      <c r="U15" s="14">
        <f t="shared" si="2"/>
        <v>0</v>
      </c>
      <c r="V15" s="14">
        <f t="shared" si="2"/>
        <v>0</v>
      </c>
      <c r="W15" s="14">
        <f t="shared" si="2"/>
        <v>0</v>
      </c>
      <c r="X15" s="14">
        <f t="shared" si="2"/>
        <v>0</v>
      </c>
      <c r="Y15" s="14">
        <f t="shared" si="2"/>
        <v>0</v>
      </c>
      <c r="Z15" s="14">
        <f t="shared" si="2"/>
        <v>0</v>
      </c>
      <c r="AA15" s="14">
        <f t="shared" si="2"/>
        <v>0</v>
      </c>
      <c r="AB15" s="14">
        <f t="shared" si="2"/>
        <v>0</v>
      </c>
    </row>
    <row r="16" spans="1:28" ht="35" customHeight="1">
      <c r="A16" s="1" t="s">
        <v>30</v>
      </c>
      <c r="B16" s="7" t="s">
        <v>31</v>
      </c>
      <c r="C16" s="1" t="s">
        <v>19</v>
      </c>
      <c r="D16" s="15">
        <f>IF('Datos Jira'!G13="",'Datos Jira'!J13,'Datos Jira'!G13)</f>
        <v>46265</v>
      </c>
      <c r="E16" s="15">
        <f>IF('Datos Jira'!H13="",'Datos Jira'!K13,'Datos Jira'!H13)</f>
        <v>46275</v>
      </c>
      <c r="F16" s="1" t="s">
        <v>23</v>
      </c>
      <c r="G16" s="1" t="str">
        <f>'Datos Jira'!E13</f>
        <v>Finalizado</v>
      </c>
      <c r="H16" s="1">
        <f>COUNTIFS('Datos Jira'!$B$8:$B$234,A16)</f>
        <v>6</v>
      </c>
      <c r="I16" s="1">
        <f>COUNTIFS('Datos Jira'!$B$8:$B$234,A16,'Datos Jira'!$E$8:$E$234,"Finalizado")</f>
        <v>6</v>
      </c>
      <c r="J16" s="11">
        <f t="shared" si="0"/>
        <v>1</v>
      </c>
      <c r="K16" s="1">
        <f t="shared" si="1"/>
        <v>11</v>
      </c>
      <c r="L16" s="13"/>
      <c r="M16" s="14">
        <f t="shared" si="2"/>
        <v>2</v>
      </c>
      <c r="N16" s="14">
        <f t="shared" si="2"/>
        <v>2</v>
      </c>
      <c r="O16" s="14">
        <f t="shared" si="2"/>
        <v>0</v>
      </c>
      <c r="P16" s="14">
        <f t="shared" si="2"/>
        <v>0</v>
      </c>
      <c r="Q16" s="14">
        <f t="shared" si="2"/>
        <v>0</v>
      </c>
      <c r="R16" s="14">
        <f t="shared" si="2"/>
        <v>0</v>
      </c>
      <c r="S16" s="14">
        <f t="shared" si="2"/>
        <v>0</v>
      </c>
      <c r="T16" s="14">
        <f t="shared" si="2"/>
        <v>0</v>
      </c>
      <c r="U16" s="14">
        <f t="shared" si="2"/>
        <v>0</v>
      </c>
      <c r="V16" s="14">
        <f t="shared" si="2"/>
        <v>0</v>
      </c>
      <c r="W16" s="14">
        <f t="shared" si="2"/>
        <v>0</v>
      </c>
      <c r="X16" s="14">
        <f t="shared" si="2"/>
        <v>0</v>
      </c>
      <c r="Y16" s="14">
        <f t="shared" si="2"/>
        <v>0</v>
      </c>
      <c r="Z16" s="14">
        <f t="shared" si="2"/>
        <v>0</v>
      </c>
      <c r="AA16" s="14">
        <f t="shared" si="2"/>
        <v>0</v>
      </c>
      <c r="AB16" s="14">
        <f t="shared" si="2"/>
        <v>0</v>
      </c>
    </row>
    <row r="17" spans="1:28" ht="25" customHeight="1">
      <c r="A17" s="16"/>
      <c r="B17" s="16" t="s">
        <v>32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35" customHeight="1">
      <c r="A18" s="1" t="s">
        <v>33</v>
      </c>
      <c r="B18" s="7" t="s">
        <v>34</v>
      </c>
      <c r="C18" s="1" t="s">
        <v>19</v>
      </c>
      <c r="D18" s="15">
        <f>IF('Datos Jira'!G17="",'Datos Jira'!J17,'Datos Jira'!G17)</f>
        <v>46273</v>
      </c>
      <c r="E18" s="15">
        <f>IF('Datos Jira'!H17="",'Datos Jira'!K17,'Datos Jira'!H17)</f>
        <v>46287</v>
      </c>
      <c r="F18" s="1" t="s">
        <v>23</v>
      </c>
      <c r="G18" s="1" t="str">
        <f>'Datos Jira'!E17</f>
        <v>Finalizado</v>
      </c>
      <c r="H18" s="1">
        <f>COUNTIFS('Datos Jira'!$B$8:$B$234,A18)</f>
        <v>8</v>
      </c>
      <c r="I18" s="1">
        <f>COUNTIFS('Datos Jira'!$B$8:$B$234,A18,'Datos Jira'!$E$8:$E$234,"Finalizado")</f>
        <v>8</v>
      </c>
      <c r="J18" s="11">
        <f t="shared" ref="J18:J29" si="3">IF(G18="Finalizado",1,IF(H18&gt;0,I18/H18,IF(G18="Pendiente",0,"")))</f>
        <v>1</v>
      </c>
      <c r="K18" s="1">
        <f t="shared" ref="K18:K29" si="4">E18-D18+1</f>
        <v>15</v>
      </c>
      <c r="L18" s="13"/>
      <c r="M18" s="14">
        <f t="shared" ref="M18:AB29" si="5">IF(AND($D18&lt;=M$9+6,$E18&gt;=M$9),IF(AND(ISNUMBER($J18),M$9&lt;=$D18+($E18-$D18+1)*$J18-1),2,1),0)</f>
        <v>0</v>
      </c>
      <c r="N18" s="14">
        <f t="shared" si="5"/>
        <v>2</v>
      </c>
      <c r="O18" s="14">
        <f t="shared" si="5"/>
        <v>2</v>
      </c>
      <c r="P18" s="14">
        <f t="shared" si="5"/>
        <v>2</v>
      </c>
      <c r="Q18" s="14">
        <f t="shared" si="5"/>
        <v>0</v>
      </c>
      <c r="R18" s="14">
        <f t="shared" si="5"/>
        <v>0</v>
      </c>
      <c r="S18" s="14">
        <f t="shared" si="5"/>
        <v>0</v>
      </c>
      <c r="T18" s="14">
        <f t="shared" si="5"/>
        <v>0</v>
      </c>
      <c r="U18" s="14">
        <f t="shared" si="5"/>
        <v>0</v>
      </c>
      <c r="V18" s="14">
        <f t="shared" si="5"/>
        <v>0</v>
      </c>
      <c r="W18" s="14">
        <f t="shared" si="5"/>
        <v>0</v>
      </c>
      <c r="X18" s="14">
        <f t="shared" si="5"/>
        <v>0</v>
      </c>
      <c r="Y18" s="14">
        <f t="shared" si="5"/>
        <v>0</v>
      </c>
      <c r="Z18" s="14">
        <f t="shared" si="5"/>
        <v>0</v>
      </c>
      <c r="AA18" s="14">
        <f t="shared" si="5"/>
        <v>0</v>
      </c>
      <c r="AB18" s="14">
        <f t="shared" si="5"/>
        <v>0</v>
      </c>
    </row>
    <row r="19" spans="1:28" ht="35" customHeight="1">
      <c r="A19" s="1" t="s">
        <v>35</v>
      </c>
      <c r="B19" s="7" t="s">
        <v>36</v>
      </c>
      <c r="C19" s="1" t="s">
        <v>37</v>
      </c>
      <c r="D19" s="15">
        <f>IF('Datos Jira'!G18="",'Datos Jira'!J18,'Datos Jira'!G18)</f>
        <v>46273</v>
      </c>
      <c r="E19" s="15">
        <f>IF('Datos Jira'!H18="",'Datos Jira'!K18,'Datos Jira'!H18)</f>
        <v>46287</v>
      </c>
      <c r="F19" s="1" t="s">
        <v>23</v>
      </c>
      <c r="G19" s="1" t="str">
        <f>'Datos Jira'!E18</f>
        <v>Finalizado</v>
      </c>
      <c r="H19" s="1">
        <f>COUNTIFS('Datos Jira'!$B$8:$B$234,A19)</f>
        <v>0</v>
      </c>
      <c r="I19" s="1">
        <f>COUNTIFS('Datos Jira'!$B$8:$B$234,A19,'Datos Jira'!$E$8:$E$234,"Finalizado")</f>
        <v>0</v>
      </c>
      <c r="J19" s="11">
        <f t="shared" si="3"/>
        <v>1</v>
      </c>
      <c r="K19" s="1">
        <f t="shared" si="4"/>
        <v>15</v>
      </c>
      <c r="L19" s="13"/>
      <c r="M19" s="14">
        <f t="shared" si="5"/>
        <v>0</v>
      </c>
      <c r="N19" s="14">
        <f t="shared" si="5"/>
        <v>2</v>
      </c>
      <c r="O19" s="14">
        <f t="shared" si="5"/>
        <v>2</v>
      </c>
      <c r="P19" s="14">
        <f t="shared" si="5"/>
        <v>2</v>
      </c>
      <c r="Q19" s="14">
        <f t="shared" si="5"/>
        <v>0</v>
      </c>
      <c r="R19" s="14">
        <f t="shared" si="5"/>
        <v>0</v>
      </c>
      <c r="S19" s="14">
        <f t="shared" si="5"/>
        <v>0</v>
      </c>
      <c r="T19" s="14">
        <f t="shared" si="5"/>
        <v>0</v>
      </c>
      <c r="U19" s="14">
        <f t="shared" si="5"/>
        <v>0</v>
      </c>
      <c r="V19" s="14">
        <f t="shared" si="5"/>
        <v>0</v>
      </c>
      <c r="W19" s="14">
        <f t="shared" si="5"/>
        <v>0</v>
      </c>
      <c r="X19" s="14">
        <f t="shared" si="5"/>
        <v>0</v>
      </c>
      <c r="Y19" s="14">
        <f t="shared" si="5"/>
        <v>0</v>
      </c>
      <c r="Z19" s="14">
        <f t="shared" si="5"/>
        <v>0</v>
      </c>
      <c r="AA19" s="14">
        <f t="shared" si="5"/>
        <v>0</v>
      </c>
      <c r="AB19" s="14">
        <f t="shared" si="5"/>
        <v>0</v>
      </c>
    </row>
    <row r="20" spans="1:28" ht="35" customHeight="1">
      <c r="A20" s="1" t="s">
        <v>38</v>
      </c>
      <c r="B20" s="7" t="s">
        <v>39</v>
      </c>
      <c r="C20" s="1" t="s">
        <v>37</v>
      </c>
      <c r="D20" s="15">
        <f>IF('Datos Jira'!G19="",'Datos Jira'!J19,'Datos Jira'!G19)</f>
        <v>46273</v>
      </c>
      <c r="E20" s="15">
        <f>IF('Datos Jira'!H19="",'Datos Jira'!K19,'Datos Jira'!H19)</f>
        <v>46291</v>
      </c>
      <c r="F20" s="1" t="s">
        <v>23</v>
      </c>
      <c r="G20" s="1" t="str">
        <f>'Datos Jira'!E19</f>
        <v>Finalizado</v>
      </c>
      <c r="H20" s="1">
        <f>COUNTIFS('Datos Jira'!$B$8:$B$234,A20)</f>
        <v>4</v>
      </c>
      <c r="I20" s="1">
        <f>COUNTIFS('Datos Jira'!$B$8:$B$234,A20,'Datos Jira'!$E$8:$E$234,"Finalizado")</f>
        <v>4</v>
      </c>
      <c r="J20" s="11">
        <f t="shared" si="3"/>
        <v>1</v>
      </c>
      <c r="K20" s="1">
        <f t="shared" si="4"/>
        <v>19</v>
      </c>
      <c r="L20" s="13"/>
      <c r="M20" s="14">
        <f t="shared" si="5"/>
        <v>0</v>
      </c>
      <c r="N20" s="14">
        <f t="shared" si="5"/>
        <v>2</v>
      </c>
      <c r="O20" s="14">
        <f t="shared" si="5"/>
        <v>2</v>
      </c>
      <c r="P20" s="14">
        <f t="shared" si="5"/>
        <v>2</v>
      </c>
      <c r="Q20" s="14">
        <f t="shared" si="5"/>
        <v>0</v>
      </c>
      <c r="R20" s="14">
        <f t="shared" si="5"/>
        <v>0</v>
      </c>
      <c r="S20" s="14">
        <f t="shared" si="5"/>
        <v>0</v>
      </c>
      <c r="T20" s="14">
        <f t="shared" si="5"/>
        <v>0</v>
      </c>
      <c r="U20" s="14">
        <f t="shared" si="5"/>
        <v>0</v>
      </c>
      <c r="V20" s="14">
        <f t="shared" si="5"/>
        <v>0</v>
      </c>
      <c r="W20" s="14">
        <f t="shared" si="5"/>
        <v>0</v>
      </c>
      <c r="X20" s="14">
        <f t="shared" si="5"/>
        <v>0</v>
      </c>
      <c r="Y20" s="14">
        <f t="shared" si="5"/>
        <v>0</v>
      </c>
      <c r="Z20" s="14">
        <f t="shared" si="5"/>
        <v>0</v>
      </c>
      <c r="AA20" s="14">
        <f t="shared" si="5"/>
        <v>0</v>
      </c>
      <c r="AB20" s="14">
        <f t="shared" si="5"/>
        <v>0</v>
      </c>
    </row>
    <row r="21" spans="1:28" ht="35" customHeight="1">
      <c r="A21" s="1" t="s">
        <v>40</v>
      </c>
      <c r="B21" s="7" t="s">
        <v>41</v>
      </c>
      <c r="C21" s="1" t="s">
        <v>37</v>
      </c>
      <c r="D21" s="15">
        <f>IF('Datos Jira'!G20="",'Datos Jira'!J20,'Datos Jira'!G20)</f>
        <v>46273</v>
      </c>
      <c r="E21" s="15">
        <f>IF('Datos Jira'!H20="",'Datos Jira'!K20,'Datos Jira'!H20)</f>
        <v>46291</v>
      </c>
      <c r="F21" s="1" t="s">
        <v>23</v>
      </c>
      <c r="G21" s="1" t="str">
        <f>'Datos Jira'!E20</f>
        <v>Finalizado</v>
      </c>
      <c r="H21" s="1">
        <f>COUNTIFS('Datos Jira'!$B$8:$B$234,A21)</f>
        <v>4</v>
      </c>
      <c r="I21" s="1">
        <f>COUNTIFS('Datos Jira'!$B$8:$B$234,A21,'Datos Jira'!$E$8:$E$234,"Finalizado")</f>
        <v>4</v>
      </c>
      <c r="J21" s="11">
        <f t="shared" si="3"/>
        <v>1</v>
      </c>
      <c r="K21" s="1">
        <f t="shared" si="4"/>
        <v>19</v>
      </c>
      <c r="L21" s="13"/>
      <c r="M21" s="14">
        <f t="shared" si="5"/>
        <v>0</v>
      </c>
      <c r="N21" s="14">
        <f t="shared" si="5"/>
        <v>2</v>
      </c>
      <c r="O21" s="14">
        <f t="shared" si="5"/>
        <v>2</v>
      </c>
      <c r="P21" s="14">
        <f t="shared" si="5"/>
        <v>2</v>
      </c>
      <c r="Q21" s="14">
        <f t="shared" si="5"/>
        <v>0</v>
      </c>
      <c r="R21" s="14">
        <f t="shared" si="5"/>
        <v>0</v>
      </c>
      <c r="S21" s="14">
        <f t="shared" si="5"/>
        <v>0</v>
      </c>
      <c r="T21" s="14">
        <f t="shared" si="5"/>
        <v>0</v>
      </c>
      <c r="U21" s="14">
        <f t="shared" si="5"/>
        <v>0</v>
      </c>
      <c r="V21" s="14">
        <f t="shared" si="5"/>
        <v>0</v>
      </c>
      <c r="W21" s="14">
        <f t="shared" si="5"/>
        <v>0</v>
      </c>
      <c r="X21" s="14">
        <f t="shared" si="5"/>
        <v>0</v>
      </c>
      <c r="Y21" s="14">
        <f t="shared" si="5"/>
        <v>0</v>
      </c>
      <c r="Z21" s="14">
        <f t="shared" si="5"/>
        <v>0</v>
      </c>
      <c r="AA21" s="14">
        <f t="shared" si="5"/>
        <v>0</v>
      </c>
      <c r="AB21" s="14">
        <f t="shared" si="5"/>
        <v>0</v>
      </c>
    </row>
    <row r="22" spans="1:28" ht="35" customHeight="1">
      <c r="A22" s="1" t="s">
        <v>42</v>
      </c>
      <c r="B22" s="7" t="s">
        <v>43</v>
      </c>
      <c r="C22" s="1" t="s">
        <v>37</v>
      </c>
      <c r="D22" s="15">
        <f>IF('Datos Jira'!G21="",'Datos Jira'!J21,'Datos Jira'!G21)</f>
        <v>46273</v>
      </c>
      <c r="E22" s="15">
        <f>IF('Datos Jira'!H21="",'Datos Jira'!K21,'Datos Jira'!H21)</f>
        <v>46295</v>
      </c>
      <c r="F22" s="1" t="s">
        <v>23</v>
      </c>
      <c r="G22" s="1" t="str">
        <f>'Datos Jira'!E21</f>
        <v>Finalizado</v>
      </c>
      <c r="H22" s="1">
        <f>COUNTIFS('Datos Jira'!$B$8:$B$234,A22)</f>
        <v>5</v>
      </c>
      <c r="I22" s="1">
        <f>COUNTIFS('Datos Jira'!$B$8:$B$234,A22,'Datos Jira'!$E$8:$E$234,"Finalizado")</f>
        <v>5</v>
      </c>
      <c r="J22" s="11">
        <f t="shared" si="3"/>
        <v>1</v>
      </c>
      <c r="K22" s="1">
        <f t="shared" si="4"/>
        <v>23</v>
      </c>
      <c r="L22" s="13"/>
      <c r="M22" s="14">
        <f t="shared" si="5"/>
        <v>0</v>
      </c>
      <c r="N22" s="14">
        <f t="shared" si="5"/>
        <v>2</v>
      </c>
      <c r="O22" s="14">
        <f t="shared" si="5"/>
        <v>2</v>
      </c>
      <c r="P22" s="14">
        <f t="shared" si="5"/>
        <v>2</v>
      </c>
      <c r="Q22" s="14">
        <f t="shared" si="5"/>
        <v>2</v>
      </c>
      <c r="R22" s="14">
        <f t="shared" si="5"/>
        <v>0</v>
      </c>
      <c r="S22" s="14">
        <f t="shared" si="5"/>
        <v>0</v>
      </c>
      <c r="T22" s="14">
        <f t="shared" si="5"/>
        <v>0</v>
      </c>
      <c r="U22" s="14">
        <f t="shared" si="5"/>
        <v>0</v>
      </c>
      <c r="V22" s="14">
        <f t="shared" si="5"/>
        <v>0</v>
      </c>
      <c r="W22" s="14">
        <f t="shared" si="5"/>
        <v>0</v>
      </c>
      <c r="X22" s="14">
        <f t="shared" si="5"/>
        <v>0</v>
      </c>
      <c r="Y22" s="14">
        <f t="shared" si="5"/>
        <v>0</v>
      </c>
      <c r="Z22" s="14">
        <f t="shared" si="5"/>
        <v>0</v>
      </c>
      <c r="AA22" s="14">
        <f t="shared" si="5"/>
        <v>0</v>
      </c>
      <c r="AB22" s="14">
        <f t="shared" si="5"/>
        <v>0</v>
      </c>
    </row>
    <row r="23" spans="1:28" ht="35" customHeight="1">
      <c r="A23" s="1" t="s">
        <v>44</v>
      </c>
      <c r="B23" s="7" t="s">
        <v>45</v>
      </c>
      <c r="C23" s="1" t="s">
        <v>19</v>
      </c>
      <c r="D23" s="15">
        <f>IF('Datos Jira'!G22="",'Datos Jira'!J22,'Datos Jira'!G22)</f>
        <v>46273</v>
      </c>
      <c r="E23" s="15">
        <f>IF('Datos Jira'!H22="",'Datos Jira'!K22,'Datos Jira'!H22)</f>
        <v>46293</v>
      </c>
      <c r="F23" s="1" t="s">
        <v>23</v>
      </c>
      <c r="G23" s="1" t="str">
        <f>'Datos Jira'!E22</f>
        <v>Finalizado</v>
      </c>
      <c r="H23" s="1">
        <f>COUNTIFS('Datos Jira'!$B$8:$B$234,A23)</f>
        <v>4</v>
      </c>
      <c r="I23" s="1">
        <f>COUNTIFS('Datos Jira'!$B$8:$B$234,A23,'Datos Jira'!$E$8:$E$234,"Finalizado")</f>
        <v>4</v>
      </c>
      <c r="J23" s="11">
        <f t="shared" si="3"/>
        <v>1</v>
      </c>
      <c r="K23" s="1">
        <f t="shared" si="4"/>
        <v>21</v>
      </c>
      <c r="L23" s="13"/>
      <c r="M23" s="14">
        <f t="shared" si="5"/>
        <v>0</v>
      </c>
      <c r="N23" s="14">
        <f t="shared" si="5"/>
        <v>2</v>
      </c>
      <c r="O23" s="14">
        <f t="shared" si="5"/>
        <v>2</v>
      </c>
      <c r="P23" s="14">
        <f t="shared" si="5"/>
        <v>2</v>
      </c>
      <c r="Q23" s="14">
        <f t="shared" si="5"/>
        <v>2</v>
      </c>
      <c r="R23" s="14">
        <f t="shared" si="5"/>
        <v>0</v>
      </c>
      <c r="S23" s="14">
        <f t="shared" si="5"/>
        <v>0</v>
      </c>
      <c r="T23" s="14">
        <f t="shared" si="5"/>
        <v>0</v>
      </c>
      <c r="U23" s="14">
        <f t="shared" si="5"/>
        <v>0</v>
      </c>
      <c r="V23" s="14">
        <f t="shared" si="5"/>
        <v>0</v>
      </c>
      <c r="W23" s="14">
        <f t="shared" si="5"/>
        <v>0</v>
      </c>
      <c r="X23" s="14">
        <f t="shared" si="5"/>
        <v>0</v>
      </c>
      <c r="Y23" s="14">
        <f t="shared" si="5"/>
        <v>0</v>
      </c>
      <c r="Z23" s="14">
        <f t="shared" si="5"/>
        <v>0</v>
      </c>
      <c r="AA23" s="14">
        <f t="shared" si="5"/>
        <v>0</v>
      </c>
      <c r="AB23" s="14">
        <f t="shared" si="5"/>
        <v>0</v>
      </c>
    </row>
    <row r="24" spans="1:28" ht="35" customHeight="1">
      <c r="A24" s="1" t="s">
        <v>46</v>
      </c>
      <c r="B24" s="7" t="s">
        <v>47</v>
      </c>
      <c r="C24" s="1" t="s">
        <v>19</v>
      </c>
      <c r="D24" s="15">
        <f>IF('Datos Jira'!G23="",'Datos Jira'!J23,'Datos Jira'!G23)</f>
        <v>46273</v>
      </c>
      <c r="E24" s="15">
        <f>IF('Datos Jira'!H23="",'Datos Jira'!K23,'Datos Jira'!H23)</f>
        <v>46299</v>
      </c>
      <c r="F24" s="1" t="s">
        <v>23</v>
      </c>
      <c r="G24" s="1" t="str">
        <f>'Datos Jira'!E23</f>
        <v>Finalizado</v>
      </c>
      <c r="H24" s="1">
        <f>COUNTIFS('Datos Jira'!$B$8:$B$234,A24)</f>
        <v>8</v>
      </c>
      <c r="I24" s="1">
        <f>COUNTIFS('Datos Jira'!$B$8:$B$234,A24,'Datos Jira'!$E$8:$E$234,"Finalizado")</f>
        <v>8</v>
      </c>
      <c r="J24" s="11">
        <f t="shared" si="3"/>
        <v>1</v>
      </c>
      <c r="K24" s="1">
        <f t="shared" si="4"/>
        <v>27</v>
      </c>
      <c r="L24" s="13"/>
      <c r="M24" s="14">
        <f t="shared" si="5"/>
        <v>0</v>
      </c>
      <c r="N24" s="14">
        <f t="shared" si="5"/>
        <v>2</v>
      </c>
      <c r="O24" s="14">
        <f t="shared" si="5"/>
        <v>2</v>
      </c>
      <c r="P24" s="14">
        <f t="shared" si="5"/>
        <v>2</v>
      </c>
      <c r="Q24" s="14">
        <f t="shared" si="5"/>
        <v>2</v>
      </c>
      <c r="R24" s="14">
        <f t="shared" si="5"/>
        <v>0</v>
      </c>
      <c r="S24" s="14">
        <f t="shared" si="5"/>
        <v>0</v>
      </c>
      <c r="T24" s="14">
        <f t="shared" si="5"/>
        <v>0</v>
      </c>
      <c r="U24" s="14">
        <f t="shared" si="5"/>
        <v>0</v>
      </c>
      <c r="V24" s="14">
        <f t="shared" si="5"/>
        <v>0</v>
      </c>
      <c r="W24" s="14">
        <f t="shared" si="5"/>
        <v>0</v>
      </c>
      <c r="X24" s="14">
        <f t="shared" si="5"/>
        <v>0</v>
      </c>
      <c r="Y24" s="14">
        <f t="shared" si="5"/>
        <v>0</v>
      </c>
      <c r="Z24" s="14">
        <f t="shared" si="5"/>
        <v>0</v>
      </c>
      <c r="AA24" s="14">
        <f t="shared" si="5"/>
        <v>0</v>
      </c>
      <c r="AB24" s="14">
        <f t="shared" si="5"/>
        <v>0</v>
      </c>
    </row>
    <row r="25" spans="1:28" ht="35" customHeight="1">
      <c r="A25" s="1" t="s">
        <v>48</v>
      </c>
      <c r="B25" s="7" t="s">
        <v>49</v>
      </c>
      <c r="C25" s="1" t="s">
        <v>50</v>
      </c>
      <c r="D25" s="15">
        <f>IF('Datos Jira'!G87="",'Datos Jira'!J87,'Datos Jira'!G87)</f>
        <v>46273</v>
      </c>
      <c r="E25" s="15">
        <f>IF('Datos Jira'!H87="",'Datos Jira'!K87,'Datos Jira'!H87)</f>
        <v>46295</v>
      </c>
      <c r="F25" s="1" t="s">
        <v>23</v>
      </c>
      <c r="G25" s="1" t="str">
        <f>'Datos Jira'!E87</f>
        <v>Finalizado</v>
      </c>
      <c r="H25" s="1">
        <f>COUNTIFS('Datos Jira'!$B$8:$B$234,A25)</f>
        <v>6</v>
      </c>
      <c r="I25" s="1">
        <f>COUNTIFS('Datos Jira'!$B$8:$B$234,A25,'Datos Jira'!$E$8:$E$234,"Finalizado")</f>
        <v>6</v>
      </c>
      <c r="J25" s="11">
        <f t="shared" si="3"/>
        <v>1</v>
      </c>
      <c r="K25" s="1">
        <f t="shared" si="4"/>
        <v>23</v>
      </c>
      <c r="L25" s="13"/>
      <c r="M25" s="14">
        <f t="shared" si="5"/>
        <v>0</v>
      </c>
      <c r="N25" s="14">
        <f t="shared" si="5"/>
        <v>2</v>
      </c>
      <c r="O25" s="14">
        <f t="shared" si="5"/>
        <v>2</v>
      </c>
      <c r="P25" s="14">
        <f t="shared" si="5"/>
        <v>2</v>
      </c>
      <c r="Q25" s="14">
        <f t="shared" si="5"/>
        <v>2</v>
      </c>
      <c r="R25" s="14">
        <f t="shared" si="5"/>
        <v>0</v>
      </c>
      <c r="S25" s="14">
        <f t="shared" si="5"/>
        <v>0</v>
      </c>
      <c r="T25" s="14">
        <f t="shared" si="5"/>
        <v>0</v>
      </c>
      <c r="U25" s="14">
        <f t="shared" si="5"/>
        <v>0</v>
      </c>
      <c r="V25" s="14">
        <f t="shared" si="5"/>
        <v>0</v>
      </c>
      <c r="W25" s="14">
        <f t="shared" si="5"/>
        <v>0</v>
      </c>
      <c r="X25" s="14">
        <f t="shared" si="5"/>
        <v>0</v>
      </c>
      <c r="Y25" s="14">
        <f t="shared" si="5"/>
        <v>0</v>
      </c>
      <c r="Z25" s="14">
        <f t="shared" si="5"/>
        <v>0</v>
      </c>
      <c r="AA25" s="14">
        <f t="shared" si="5"/>
        <v>0</v>
      </c>
      <c r="AB25" s="14">
        <f t="shared" si="5"/>
        <v>0</v>
      </c>
    </row>
    <row r="26" spans="1:28" ht="35" customHeight="1">
      <c r="A26" s="1" t="s">
        <v>51</v>
      </c>
      <c r="B26" s="7" t="s">
        <v>52</v>
      </c>
      <c r="C26" s="1" t="s">
        <v>19</v>
      </c>
      <c r="D26" s="15">
        <f>IF('Datos Jira'!G119="",'Datos Jira'!J119,'Datos Jira'!G119)</f>
        <v>46273</v>
      </c>
      <c r="E26" s="15">
        <f>IF('Datos Jira'!H119="",'Datos Jira'!K119,'Datos Jira'!H119)</f>
        <v>46299</v>
      </c>
      <c r="F26" s="1" t="s">
        <v>23</v>
      </c>
      <c r="G26" s="1" t="str">
        <f>'Datos Jira'!E119</f>
        <v>Finalizado</v>
      </c>
      <c r="H26" s="1">
        <f>COUNTIFS('Datos Jira'!$B$8:$B$234,A26)</f>
        <v>4</v>
      </c>
      <c r="I26" s="1">
        <f>COUNTIFS('Datos Jira'!$B$8:$B$234,A26,'Datos Jira'!$E$8:$E$234,"Finalizado")</f>
        <v>4</v>
      </c>
      <c r="J26" s="11">
        <f t="shared" si="3"/>
        <v>1</v>
      </c>
      <c r="K26" s="1">
        <f t="shared" si="4"/>
        <v>27</v>
      </c>
      <c r="L26" s="13"/>
      <c r="M26" s="14">
        <f t="shared" si="5"/>
        <v>0</v>
      </c>
      <c r="N26" s="14">
        <f t="shared" si="5"/>
        <v>2</v>
      </c>
      <c r="O26" s="14">
        <f t="shared" si="5"/>
        <v>2</v>
      </c>
      <c r="P26" s="14">
        <f t="shared" si="5"/>
        <v>2</v>
      </c>
      <c r="Q26" s="14">
        <f t="shared" si="5"/>
        <v>2</v>
      </c>
      <c r="R26" s="14">
        <f t="shared" si="5"/>
        <v>0</v>
      </c>
      <c r="S26" s="14">
        <f t="shared" si="5"/>
        <v>0</v>
      </c>
      <c r="T26" s="14">
        <f t="shared" si="5"/>
        <v>0</v>
      </c>
      <c r="U26" s="14">
        <f t="shared" si="5"/>
        <v>0</v>
      </c>
      <c r="V26" s="14">
        <f t="shared" si="5"/>
        <v>0</v>
      </c>
      <c r="W26" s="14">
        <f t="shared" si="5"/>
        <v>0</v>
      </c>
      <c r="X26" s="14">
        <f t="shared" si="5"/>
        <v>0</v>
      </c>
      <c r="Y26" s="14">
        <f t="shared" si="5"/>
        <v>0</v>
      </c>
      <c r="Z26" s="14">
        <f t="shared" si="5"/>
        <v>0</v>
      </c>
      <c r="AA26" s="14">
        <f t="shared" si="5"/>
        <v>0</v>
      </c>
      <c r="AB26" s="14">
        <f t="shared" si="5"/>
        <v>0</v>
      </c>
    </row>
    <row r="27" spans="1:28" ht="35" customHeight="1">
      <c r="A27" s="1" t="s">
        <v>53</v>
      </c>
      <c r="B27" s="7" t="s">
        <v>54</v>
      </c>
      <c r="C27" s="1" t="s">
        <v>37</v>
      </c>
      <c r="D27" s="15">
        <f>IF('Datos Jira'!G124="",'Datos Jira'!J124,'Datos Jira'!G124)</f>
        <v>46273</v>
      </c>
      <c r="E27" s="15">
        <f>IF('Datos Jira'!H124="",'Datos Jira'!K124,'Datos Jira'!H124)</f>
        <v>46301</v>
      </c>
      <c r="F27" s="1" t="s">
        <v>23</v>
      </c>
      <c r="G27" s="1" t="str">
        <f>'Datos Jira'!E124</f>
        <v>Finalizado</v>
      </c>
      <c r="H27" s="1">
        <f>COUNTIFS('Datos Jira'!$B$8:$B$234,A27)</f>
        <v>8</v>
      </c>
      <c r="I27" s="1">
        <f>COUNTIFS('Datos Jira'!$B$8:$B$234,A27,'Datos Jira'!$E$8:$E$234,"Finalizado")</f>
        <v>8</v>
      </c>
      <c r="J27" s="11">
        <f t="shared" si="3"/>
        <v>1</v>
      </c>
      <c r="K27" s="1">
        <f t="shared" si="4"/>
        <v>29</v>
      </c>
      <c r="L27" s="13"/>
      <c r="M27" s="14">
        <f t="shared" si="5"/>
        <v>0</v>
      </c>
      <c r="N27" s="14">
        <f t="shared" si="5"/>
        <v>2</v>
      </c>
      <c r="O27" s="14">
        <f t="shared" si="5"/>
        <v>2</v>
      </c>
      <c r="P27" s="14">
        <f t="shared" si="5"/>
        <v>2</v>
      </c>
      <c r="Q27" s="14">
        <f t="shared" si="5"/>
        <v>2</v>
      </c>
      <c r="R27" s="14">
        <f t="shared" si="5"/>
        <v>2</v>
      </c>
      <c r="S27" s="14">
        <f t="shared" si="5"/>
        <v>0</v>
      </c>
      <c r="T27" s="14">
        <f t="shared" si="5"/>
        <v>0</v>
      </c>
      <c r="U27" s="14">
        <f t="shared" si="5"/>
        <v>0</v>
      </c>
      <c r="V27" s="14">
        <f t="shared" si="5"/>
        <v>0</v>
      </c>
      <c r="W27" s="14">
        <f t="shared" si="5"/>
        <v>0</v>
      </c>
      <c r="X27" s="14">
        <f t="shared" si="5"/>
        <v>0</v>
      </c>
      <c r="Y27" s="14">
        <f t="shared" si="5"/>
        <v>0</v>
      </c>
      <c r="Z27" s="14">
        <f t="shared" si="5"/>
        <v>0</v>
      </c>
      <c r="AA27" s="14">
        <f t="shared" si="5"/>
        <v>0</v>
      </c>
      <c r="AB27" s="14">
        <f t="shared" si="5"/>
        <v>0</v>
      </c>
    </row>
    <row r="28" spans="1:28" ht="35" customHeight="1">
      <c r="A28" s="1" t="s">
        <v>55</v>
      </c>
      <c r="B28" s="7" t="s">
        <v>56</v>
      </c>
      <c r="C28" s="1" t="s">
        <v>50</v>
      </c>
      <c r="D28" s="15">
        <f>IF('Datos Jira'!G125="",'Datos Jira'!J125,'Datos Jira'!G125)</f>
        <v>46273</v>
      </c>
      <c r="E28" s="15">
        <f>IF('Datos Jira'!H125="",'Datos Jira'!K125,'Datos Jira'!H125)</f>
        <v>46301</v>
      </c>
      <c r="F28" s="1" t="s">
        <v>23</v>
      </c>
      <c r="G28" s="1" t="str">
        <f>'Datos Jira'!E125</f>
        <v>Finalizado</v>
      </c>
      <c r="H28" s="1">
        <f>COUNTIFS('Datos Jira'!$B$8:$B$234,A28)</f>
        <v>6</v>
      </c>
      <c r="I28" s="1">
        <f>COUNTIFS('Datos Jira'!$B$8:$B$234,A28,'Datos Jira'!$E$8:$E$234,"Finalizado")</f>
        <v>6</v>
      </c>
      <c r="J28" s="11">
        <f t="shared" si="3"/>
        <v>1</v>
      </c>
      <c r="K28" s="1">
        <f t="shared" si="4"/>
        <v>29</v>
      </c>
      <c r="L28" s="13"/>
      <c r="M28" s="14">
        <f t="shared" si="5"/>
        <v>0</v>
      </c>
      <c r="N28" s="14">
        <f t="shared" si="5"/>
        <v>2</v>
      </c>
      <c r="O28" s="14">
        <f t="shared" si="5"/>
        <v>2</v>
      </c>
      <c r="P28" s="14">
        <f t="shared" si="5"/>
        <v>2</v>
      </c>
      <c r="Q28" s="14">
        <f t="shared" si="5"/>
        <v>2</v>
      </c>
      <c r="R28" s="14">
        <f t="shared" si="5"/>
        <v>2</v>
      </c>
      <c r="S28" s="14">
        <f t="shared" si="5"/>
        <v>0</v>
      </c>
      <c r="T28" s="14">
        <f t="shared" si="5"/>
        <v>0</v>
      </c>
      <c r="U28" s="14">
        <f t="shared" si="5"/>
        <v>0</v>
      </c>
      <c r="V28" s="14">
        <f t="shared" si="5"/>
        <v>0</v>
      </c>
      <c r="W28" s="14">
        <f t="shared" si="5"/>
        <v>0</v>
      </c>
      <c r="X28" s="14">
        <f t="shared" si="5"/>
        <v>0</v>
      </c>
      <c r="Y28" s="14">
        <f t="shared" si="5"/>
        <v>0</v>
      </c>
      <c r="Z28" s="14">
        <f t="shared" si="5"/>
        <v>0</v>
      </c>
      <c r="AA28" s="14">
        <f t="shared" si="5"/>
        <v>0</v>
      </c>
      <c r="AB28" s="14">
        <f t="shared" si="5"/>
        <v>0</v>
      </c>
    </row>
    <row r="29" spans="1:28" ht="35" customHeight="1">
      <c r="A29" s="1" t="s">
        <v>57</v>
      </c>
      <c r="B29" s="7" t="s">
        <v>58</v>
      </c>
      <c r="C29" s="1" t="s">
        <v>19</v>
      </c>
      <c r="D29" s="15">
        <f>IF('Datos Jira'!G134="",'Datos Jira'!J134,'Datos Jira'!G134)</f>
        <v>46273</v>
      </c>
      <c r="E29" s="15">
        <f>IF('Datos Jira'!H134="",'Datos Jira'!K134,'Datos Jira'!H134)</f>
        <v>46301</v>
      </c>
      <c r="F29" s="1" t="s">
        <v>59</v>
      </c>
      <c r="G29" s="1" t="str">
        <f>'Datos Jira'!E134</f>
        <v>Finalizado</v>
      </c>
      <c r="H29" s="1">
        <f>COUNTIFS('Datos Jira'!$B$8:$B$234,A29)</f>
        <v>0</v>
      </c>
      <c r="I29" s="1">
        <f>COUNTIFS('Datos Jira'!$B$8:$B$234,A29,'Datos Jira'!$E$8:$E$234,"Finalizado")</f>
        <v>0</v>
      </c>
      <c r="J29" s="11">
        <f t="shared" si="3"/>
        <v>1</v>
      </c>
      <c r="K29" s="1">
        <f t="shared" si="4"/>
        <v>29</v>
      </c>
      <c r="L29" s="13"/>
      <c r="M29" s="14">
        <f t="shared" si="5"/>
        <v>0</v>
      </c>
      <c r="N29" s="14">
        <f t="shared" si="5"/>
        <v>2</v>
      </c>
      <c r="O29" s="14">
        <f t="shared" si="5"/>
        <v>2</v>
      </c>
      <c r="P29" s="14">
        <f t="shared" si="5"/>
        <v>2</v>
      </c>
      <c r="Q29" s="14">
        <f t="shared" si="5"/>
        <v>2</v>
      </c>
      <c r="R29" s="14">
        <f t="shared" si="5"/>
        <v>2</v>
      </c>
      <c r="S29" s="14">
        <f t="shared" si="5"/>
        <v>0</v>
      </c>
      <c r="T29" s="14">
        <f t="shared" si="5"/>
        <v>0</v>
      </c>
      <c r="U29" s="14">
        <f t="shared" si="5"/>
        <v>0</v>
      </c>
      <c r="V29" s="14">
        <f t="shared" si="5"/>
        <v>0</v>
      </c>
      <c r="W29" s="14">
        <f t="shared" si="5"/>
        <v>0</v>
      </c>
      <c r="X29" s="14">
        <f t="shared" si="5"/>
        <v>0</v>
      </c>
      <c r="Y29" s="14">
        <f t="shared" si="5"/>
        <v>0</v>
      </c>
      <c r="Z29" s="14">
        <f t="shared" si="5"/>
        <v>0</v>
      </c>
      <c r="AA29" s="14">
        <f t="shared" si="5"/>
        <v>0</v>
      </c>
      <c r="AB29" s="14">
        <f t="shared" si="5"/>
        <v>0</v>
      </c>
    </row>
    <row r="30" spans="1:28" ht="25" customHeight="1">
      <c r="A30" s="17"/>
      <c r="B30" s="17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35" customHeight="1">
      <c r="A31" s="1" t="s">
        <v>61</v>
      </c>
      <c r="B31" s="7" t="s">
        <v>62</v>
      </c>
      <c r="C31" s="1" t="s">
        <v>37</v>
      </c>
      <c r="D31" s="12">
        <f>IF('Datos Jira'!G24="",'Datos Jira'!J24,'Datos Jira'!G24)</f>
        <v>46307</v>
      </c>
      <c r="E31" s="12">
        <f>IF('Datos Jira'!H24="",'Datos Jira'!K24,'Datos Jira'!H24)</f>
        <v>46318</v>
      </c>
      <c r="F31" s="1" t="s">
        <v>20</v>
      </c>
      <c r="G31" s="1" t="str">
        <f>'Datos Jira'!E24</f>
        <v>En curso</v>
      </c>
      <c r="H31" s="1">
        <f>COUNTIFS('Datos Jira'!$B$8:$B$234,A31)</f>
        <v>8</v>
      </c>
      <c r="I31" s="1">
        <f>COUNTIFS('Datos Jira'!$B$8:$B$234,A31,'Datos Jira'!$E$8:$E$234,"Finalizado")</f>
        <v>0</v>
      </c>
      <c r="J31" s="11">
        <f t="shared" ref="J31:J42" si="6">IF(G31="Finalizado",1,IF(H31&gt;0,I31/H31,IF(G31="Pendiente",0,"")))</f>
        <v>0</v>
      </c>
      <c r="K31" s="1">
        <f t="shared" ref="K31:K42" si="7">E31-D31+1</f>
        <v>12</v>
      </c>
      <c r="L31" s="13"/>
      <c r="M31" s="14">
        <f t="shared" ref="M31:AB42" si="8">IF(AND($D31&lt;=M$9+6,$E31&gt;=M$9),IF(AND(ISNUMBER($J31),M$9&lt;=$D31+($E31-$D31+1)*$J31-1),2,1),0)</f>
        <v>0</v>
      </c>
      <c r="N31" s="14">
        <f t="shared" si="8"/>
        <v>0</v>
      </c>
      <c r="O31" s="14">
        <f t="shared" si="8"/>
        <v>0</v>
      </c>
      <c r="P31" s="14">
        <f t="shared" si="8"/>
        <v>0</v>
      </c>
      <c r="Q31" s="14">
        <f t="shared" si="8"/>
        <v>0</v>
      </c>
      <c r="R31" s="14">
        <f t="shared" si="8"/>
        <v>0</v>
      </c>
      <c r="S31" s="14">
        <f t="shared" si="8"/>
        <v>1</v>
      </c>
      <c r="T31" s="14">
        <f t="shared" si="8"/>
        <v>1</v>
      </c>
      <c r="U31" s="14">
        <f t="shared" si="8"/>
        <v>0</v>
      </c>
      <c r="V31" s="14">
        <f t="shared" si="8"/>
        <v>0</v>
      </c>
      <c r="W31" s="14">
        <f t="shared" si="8"/>
        <v>0</v>
      </c>
      <c r="X31" s="14">
        <f t="shared" si="8"/>
        <v>0</v>
      </c>
      <c r="Y31" s="14">
        <f t="shared" si="8"/>
        <v>0</v>
      </c>
      <c r="Z31" s="14">
        <f t="shared" si="8"/>
        <v>0</v>
      </c>
      <c r="AA31" s="14">
        <f t="shared" si="8"/>
        <v>0</v>
      </c>
      <c r="AB31" s="14">
        <f t="shared" si="8"/>
        <v>0</v>
      </c>
    </row>
    <row r="32" spans="1:28" ht="35" customHeight="1">
      <c r="A32" s="1" t="s">
        <v>63</v>
      </c>
      <c r="B32" s="7" t="s">
        <v>64</v>
      </c>
      <c r="C32" s="1" t="s">
        <v>19</v>
      </c>
      <c r="D32" s="12">
        <f>IF('Datos Jira'!G25="",'Datos Jira'!J25,'Datos Jira'!G25)</f>
        <v>46307</v>
      </c>
      <c r="E32" s="12">
        <f>IF('Datos Jira'!H25="",'Datos Jira'!K25,'Datos Jira'!H25)</f>
        <v>46318</v>
      </c>
      <c r="F32" s="1" t="s">
        <v>20</v>
      </c>
      <c r="G32" s="1" t="str">
        <f>'Datos Jira'!E25</f>
        <v>Finalizado</v>
      </c>
      <c r="H32" s="1">
        <f>COUNTIFS('Datos Jira'!$B$8:$B$234,A32)</f>
        <v>8</v>
      </c>
      <c r="I32" s="1">
        <f>COUNTIFS('Datos Jira'!$B$8:$B$234,A32,'Datos Jira'!$E$8:$E$234,"Finalizado")</f>
        <v>8</v>
      </c>
      <c r="J32" s="11">
        <f t="shared" si="6"/>
        <v>1</v>
      </c>
      <c r="K32" s="1">
        <f t="shared" si="7"/>
        <v>12</v>
      </c>
      <c r="L32" s="13"/>
      <c r="M32" s="14">
        <f t="shared" si="8"/>
        <v>0</v>
      </c>
      <c r="N32" s="14">
        <f t="shared" si="8"/>
        <v>0</v>
      </c>
      <c r="O32" s="14">
        <f t="shared" si="8"/>
        <v>0</v>
      </c>
      <c r="P32" s="14">
        <f t="shared" si="8"/>
        <v>0</v>
      </c>
      <c r="Q32" s="14">
        <f t="shared" si="8"/>
        <v>0</v>
      </c>
      <c r="R32" s="14">
        <f t="shared" si="8"/>
        <v>0</v>
      </c>
      <c r="S32" s="14">
        <f t="shared" si="8"/>
        <v>2</v>
      </c>
      <c r="T32" s="14">
        <f t="shared" si="8"/>
        <v>2</v>
      </c>
      <c r="U32" s="14">
        <f t="shared" si="8"/>
        <v>0</v>
      </c>
      <c r="V32" s="14">
        <f t="shared" si="8"/>
        <v>0</v>
      </c>
      <c r="W32" s="14">
        <f t="shared" si="8"/>
        <v>0</v>
      </c>
      <c r="X32" s="14">
        <f t="shared" si="8"/>
        <v>0</v>
      </c>
      <c r="Y32" s="14">
        <f t="shared" si="8"/>
        <v>0</v>
      </c>
      <c r="Z32" s="14">
        <f t="shared" si="8"/>
        <v>0</v>
      </c>
      <c r="AA32" s="14">
        <f t="shared" si="8"/>
        <v>0</v>
      </c>
      <c r="AB32" s="14">
        <f t="shared" si="8"/>
        <v>0</v>
      </c>
    </row>
    <row r="33" spans="1:28" ht="35" customHeight="1">
      <c r="A33" s="1" t="s">
        <v>65</v>
      </c>
      <c r="B33" s="7" t="s">
        <v>66</v>
      </c>
      <c r="C33" s="1" t="s">
        <v>50</v>
      </c>
      <c r="D33" s="12">
        <f>IF('Datos Jira'!G26="",'Datos Jira'!J26,'Datos Jira'!G26)</f>
        <v>46307</v>
      </c>
      <c r="E33" s="12">
        <f>IF('Datos Jira'!H26="",'Datos Jira'!K26,'Datos Jira'!H26)</f>
        <v>46318</v>
      </c>
      <c r="F33" s="1" t="s">
        <v>20</v>
      </c>
      <c r="G33" s="1" t="str">
        <f>'Datos Jira'!E26</f>
        <v>En curso</v>
      </c>
      <c r="H33" s="1">
        <f>COUNTIFS('Datos Jira'!$B$8:$B$234,A33)</f>
        <v>5</v>
      </c>
      <c r="I33" s="1">
        <f>COUNTIFS('Datos Jira'!$B$8:$B$234,A33,'Datos Jira'!$E$8:$E$234,"Finalizado")</f>
        <v>4</v>
      </c>
      <c r="J33" s="11">
        <f t="shared" si="6"/>
        <v>0.8</v>
      </c>
      <c r="K33" s="1">
        <f t="shared" si="7"/>
        <v>12</v>
      </c>
      <c r="L33" s="13"/>
      <c r="M33" s="14">
        <f t="shared" si="8"/>
        <v>0</v>
      </c>
      <c r="N33" s="14">
        <f t="shared" si="8"/>
        <v>0</v>
      </c>
      <c r="O33" s="14">
        <f t="shared" si="8"/>
        <v>0</v>
      </c>
      <c r="P33" s="14">
        <f t="shared" si="8"/>
        <v>0</v>
      </c>
      <c r="Q33" s="14">
        <f t="shared" si="8"/>
        <v>0</v>
      </c>
      <c r="R33" s="14">
        <f t="shared" si="8"/>
        <v>0</v>
      </c>
      <c r="S33" s="14">
        <f t="shared" si="8"/>
        <v>2</v>
      </c>
      <c r="T33" s="14">
        <f t="shared" si="8"/>
        <v>2</v>
      </c>
      <c r="U33" s="14">
        <f t="shared" si="8"/>
        <v>0</v>
      </c>
      <c r="V33" s="14">
        <f t="shared" si="8"/>
        <v>0</v>
      </c>
      <c r="W33" s="14">
        <f t="shared" si="8"/>
        <v>0</v>
      </c>
      <c r="X33" s="14">
        <f t="shared" si="8"/>
        <v>0</v>
      </c>
      <c r="Y33" s="14">
        <f t="shared" si="8"/>
        <v>0</v>
      </c>
      <c r="Z33" s="14">
        <f t="shared" si="8"/>
        <v>0</v>
      </c>
      <c r="AA33" s="14">
        <f t="shared" si="8"/>
        <v>0</v>
      </c>
      <c r="AB33" s="14">
        <f t="shared" si="8"/>
        <v>0</v>
      </c>
    </row>
    <row r="34" spans="1:28" ht="35" customHeight="1">
      <c r="A34" s="1" t="s">
        <v>67</v>
      </c>
      <c r="B34" s="7" t="s">
        <v>68</v>
      </c>
      <c r="C34" s="1" t="s">
        <v>37</v>
      </c>
      <c r="D34" s="12">
        <f>IF('Datos Jira'!G27="",'Datos Jira'!J27,'Datos Jira'!G27)</f>
        <v>46307</v>
      </c>
      <c r="E34" s="12">
        <f>IF('Datos Jira'!H27="",'Datos Jira'!K27,'Datos Jira'!H27)</f>
        <v>46318</v>
      </c>
      <c r="F34" s="1" t="s">
        <v>20</v>
      </c>
      <c r="G34" s="1" t="str">
        <f>'Datos Jira'!E27</f>
        <v>Finalizado</v>
      </c>
      <c r="H34" s="1">
        <f>COUNTIFS('Datos Jira'!$B$8:$B$234,A34)</f>
        <v>8</v>
      </c>
      <c r="I34" s="1">
        <f>COUNTIFS('Datos Jira'!$B$8:$B$234,A34,'Datos Jira'!$E$8:$E$234,"Finalizado")</f>
        <v>8</v>
      </c>
      <c r="J34" s="11">
        <f t="shared" si="6"/>
        <v>1</v>
      </c>
      <c r="K34" s="1">
        <f t="shared" si="7"/>
        <v>12</v>
      </c>
      <c r="L34" s="13"/>
      <c r="M34" s="14">
        <f t="shared" si="8"/>
        <v>0</v>
      </c>
      <c r="N34" s="14">
        <f t="shared" si="8"/>
        <v>0</v>
      </c>
      <c r="O34" s="14">
        <f t="shared" si="8"/>
        <v>0</v>
      </c>
      <c r="P34" s="14">
        <f t="shared" si="8"/>
        <v>0</v>
      </c>
      <c r="Q34" s="14">
        <f t="shared" si="8"/>
        <v>0</v>
      </c>
      <c r="R34" s="14">
        <f t="shared" si="8"/>
        <v>0</v>
      </c>
      <c r="S34" s="14">
        <f t="shared" si="8"/>
        <v>2</v>
      </c>
      <c r="T34" s="14">
        <f t="shared" si="8"/>
        <v>2</v>
      </c>
      <c r="U34" s="14">
        <f t="shared" si="8"/>
        <v>0</v>
      </c>
      <c r="V34" s="14">
        <f t="shared" si="8"/>
        <v>0</v>
      </c>
      <c r="W34" s="14">
        <f t="shared" si="8"/>
        <v>0</v>
      </c>
      <c r="X34" s="14">
        <f t="shared" si="8"/>
        <v>0</v>
      </c>
      <c r="Y34" s="14">
        <f t="shared" si="8"/>
        <v>0</v>
      </c>
      <c r="Z34" s="14">
        <f t="shared" si="8"/>
        <v>0</v>
      </c>
      <c r="AA34" s="14">
        <f t="shared" si="8"/>
        <v>0</v>
      </c>
      <c r="AB34" s="14">
        <f t="shared" si="8"/>
        <v>0</v>
      </c>
    </row>
    <row r="35" spans="1:28" ht="35" customHeight="1">
      <c r="A35" s="1" t="s">
        <v>69</v>
      </c>
      <c r="B35" s="7" t="s">
        <v>70</v>
      </c>
      <c r="C35" s="1" t="s">
        <v>19</v>
      </c>
      <c r="D35" s="12">
        <f>IF('Datos Jira'!G28="",'Datos Jira'!J28,'Datos Jira'!G28)</f>
        <v>46300</v>
      </c>
      <c r="E35" s="12">
        <f>IF('Datos Jira'!H28="",'Datos Jira'!K28,'Datos Jira'!H28)</f>
        <v>46308</v>
      </c>
      <c r="F35" s="1" t="s">
        <v>20</v>
      </c>
      <c r="G35" s="1" t="str">
        <f>'Datos Jira'!E28</f>
        <v>Finalizado</v>
      </c>
      <c r="H35" s="1">
        <f>COUNTIFS('Datos Jira'!$B$8:$B$234,A35)</f>
        <v>6</v>
      </c>
      <c r="I35" s="1">
        <f>COUNTIFS('Datos Jira'!$B$8:$B$234,A35,'Datos Jira'!$E$8:$E$234,"Finalizado")</f>
        <v>6</v>
      </c>
      <c r="J35" s="11">
        <f t="shared" si="6"/>
        <v>1</v>
      </c>
      <c r="K35" s="1">
        <f t="shared" si="7"/>
        <v>9</v>
      </c>
      <c r="L35" s="13"/>
      <c r="M35" s="14">
        <f t="shared" si="8"/>
        <v>0</v>
      </c>
      <c r="N35" s="14">
        <f t="shared" si="8"/>
        <v>0</v>
      </c>
      <c r="O35" s="14">
        <f t="shared" si="8"/>
        <v>0</v>
      </c>
      <c r="P35" s="14">
        <f t="shared" si="8"/>
        <v>0</v>
      </c>
      <c r="Q35" s="14">
        <f t="shared" si="8"/>
        <v>0</v>
      </c>
      <c r="R35" s="14">
        <f t="shared" si="8"/>
        <v>2</v>
      </c>
      <c r="S35" s="14">
        <f t="shared" si="8"/>
        <v>2</v>
      </c>
      <c r="T35" s="14">
        <f t="shared" si="8"/>
        <v>0</v>
      </c>
      <c r="U35" s="14">
        <f t="shared" si="8"/>
        <v>0</v>
      </c>
      <c r="V35" s="14">
        <f t="shared" si="8"/>
        <v>0</v>
      </c>
      <c r="W35" s="14">
        <f t="shared" si="8"/>
        <v>0</v>
      </c>
      <c r="X35" s="14">
        <f t="shared" si="8"/>
        <v>0</v>
      </c>
      <c r="Y35" s="14">
        <f t="shared" si="8"/>
        <v>0</v>
      </c>
      <c r="Z35" s="14">
        <f t="shared" si="8"/>
        <v>0</v>
      </c>
      <c r="AA35" s="14">
        <f t="shared" si="8"/>
        <v>0</v>
      </c>
      <c r="AB35" s="14">
        <f t="shared" si="8"/>
        <v>0</v>
      </c>
    </row>
    <row r="36" spans="1:28" ht="35" customHeight="1">
      <c r="A36" s="1" t="s">
        <v>71</v>
      </c>
      <c r="B36" s="7" t="s">
        <v>72</v>
      </c>
      <c r="C36" s="1" t="s">
        <v>50</v>
      </c>
      <c r="D36" s="12">
        <f>IF('Datos Jira'!G29="",'Datos Jira'!J29,'Datos Jira'!G29)</f>
        <v>46318</v>
      </c>
      <c r="E36" s="12">
        <f>IF('Datos Jira'!H29="",'Datos Jira'!K29,'Datos Jira'!H29)</f>
        <v>46320</v>
      </c>
      <c r="F36" s="1" t="s">
        <v>20</v>
      </c>
      <c r="G36" s="1" t="str">
        <f>'Datos Jira'!E29</f>
        <v>Pendiente</v>
      </c>
      <c r="H36" s="1">
        <f>COUNTIFS('Datos Jira'!$B$8:$B$234,A36)</f>
        <v>8</v>
      </c>
      <c r="I36" s="1">
        <f>COUNTIFS('Datos Jira'!$B$8:$B$234,A36,'Datos Jira'!$E$8:$E$234,"Finalizado")</f>
        <v>0</v>
      </c>
      <c r="J36" s="11">
        <f t="shared" si="6"/>
        <v>0</v>
      </c>
      <c r="K36" s="1">
        <f t="shared" si="7"/>
        <v>3</v>
      </c>
      <c r="L36" s="13"/>
      <c r="M36" s="14">
        <f t="shared" si="8"/>
        <v>0</v>
      </c>
      <c r="N36" s="14">
        <f t="shared" si="8"/>
        <v>0</v>
      </c>
      <c r="O36" s="14">
        <f t="shared" si="8"/>
        <v>0</v>
      </c>
      <c r="P36" s="14">
        <f t="shared" si="8"/>
        <v>0</v>
      </c>
      <c r="Q36" s="14">
        <f t="shared" si="8"/>
        <v>0</v>
      </c>
      <c r="R36" s="14">
        <f t="shared" si="8"/>
        <v>0</v>
      </c>
      <c r="S36" s="14">
        <f t="shared" si="8"/>
        <v>0</v>
      </c>
      <c r="T36" s="14">
        <f t="shared" si="8"/>
        <v>2</v>
      </c>
      <c r="U36" s="14">
        <f t="shared" si="8"/>
        <v>0</v>
      </c>
      <c r="V36" s="14">
        <f t="shared" si="8"/>
        <v>0</v>
      </c>
      <c r="W36" s="14">
        <f t="shared" si="8"/>
        <v>0</v>
      </c>
      <c r="X36" s="14">
        <f t="shared" si="8"/>
        <v>0</v>
      </c>
      <c r="Y36" s="14">
        <f t="shared" si="8"/>
        <v>0</v>
      </c>
      <c r="Z36" s="14">
        <f t="shared" si="8"/>
        <v>0</v>
      </c>
      <c r="AA36" s="14">
        <f t="shared" si="8"/>
        <v>0</v>
      </c>
      <c r="AB36" s="14">
        <f t="shared" si="8"/>
        <v>0</v>
      </c>
    </row>
    <row r="37" spans="1:28" ht="35" customHeight="1">
      <c r="A37" s="1" t="s">
        <v>73</v>
      </c>
      <c r="B37" s="7" t="s">
        <v>74</v>
      </c>
      <c r="C37" s="1" t="s">
        <v>19</v>
      </c>
      <c r="D37" s="12">
        <f>IF('Datos Jira'!G30="",'Datos Jira'!J30,'Datos Jira'!G30)</f>
        <v>46302</v>
      </c>
      <c r="E37" s="12">
        <f>IF('Datos Jira'!H30="",'Datos Jira'!K30,'Datos Jira'!H30)</f>
        <v>46308</v>
      </c>
      <c r="F37" s="1" t="s">
        <v>20</v>
      </c>
      <c r="G37" s="1" t="str">
        <f>'Datos Jira'!E30</f>
        <v>Finalizado</v>
      </c>
      <c r="H37" s="1">
        <f>COUNTIFS('Datos Jira'!$B$8:$B$234,A37)</f>
        <v>6</v>
      </c>
      <c r="I37" s="1">
        <f>COUNTIFS('Datos Jira'!$B$8:$B$234,A37,'Datos Jira'!$E$8:$E$234,"Finalizado")</f>
        <v>6</v>
      </c>
      <c r="J37" s="11">
        <f t="shared" si="6"/>
        <v>1</v>
      </c>
      <c r="K37" s="1">
        <f t="shared" si="7"/>
        <v>7</v>
      </c>
      <c r="L37" s="13"/>
      <c r="M37" s="14">
        <f t="shared" si="8"/>
        <v>0</v>
      </c>
      <c r="N37" s="14">
        <f t="shared" si="8"/>
        <v>0</v>
      </c>
      <c r="O37" s="14">
        <f t="shared" si="8"/>
        <v>0</v>
      </c>
      <c r="P37" s="14">
        <f t="shared" si="8"/>
        <v>0</v>
      </c>
      <c r="Q37" s="14">
        <f t="shared" si="8"/>
        <v>0</v>
      </c>
      <c r="R37" s="14">
        <f t="shared" si="8"/>
        <v>2</v>
      </c>
      <c r="S37" s="14">
        <f t="shared" si="8"/>
        <v>2</v>
      </c>
      <c r="T37" s="14">
        <f t="shared" si="8"/>
        <v>0</v>
      </c>
      <c r="U37" s="14">
        <f t="shared" si="8"/>
        <v>0</v>
      </c>
      <c r="V37" s="14">
        <f t="shared" si="8"/>
        <v>0</v>
      </c>
      <c r="W37" s="14">
        <f t="shared" si="8"/>
        <v>0</v>
      </c>
      <c r="X37" s="14">
        <f t="shared" si="8"/>
        <v>0</v>
      </c>
      <c r="Y37" s="14">
        <f t="shared" si="8"/>
        <v>0</v>
      </c>
      <c r="Z37" s="14">
        <f t="shared" si="8"/>
        <v>0</v>
      </c>
      <c r="AA37" s="14">
        <f t="shared" si="8"/>
        <v>0</v>
      </c>
      <c r="AB37" s="14">
        <f t="shared" si="8"/>
        <v>0</v>
      </c>
    </row>
    <row r="38" spans="1:28" ht="35" customHeight="1">
      <c r="A38" s="1" t="s">
        <v>75</v>
      </c>
      <c r="B38" s="7" t="s">
        <v>76</v>
      </c>
      <c r="C38" s="1" t="s">
        <v>19</v>
      </c>
      <c r="D38" s="12">
        <f>IF('Datos Jira'!G78="",'Datos Jira'!J78,'Datos Jira'!G78)</f>
        <v>46301</v>
      </c>
      <c r="E38" s="12">
        <f>IF('Datos Jira'!H78="",'Datos Jira'!K78,'Datos Jira'!H78)</f>
        <v>46308</v>
      </c>
      <c r="F38" s="1" t="s">
        <v>20</v>
      </c>
      <c r="G38" s="1" t="str">
        <f>'Datos Jira'!E78</f>
        <v>Finalizado</v>
      </c>
      <c r="H38" s="1">
        <f>COUNTIFS('Datos Jira'!$B$8:$B$234,A38)</f>
        <v>7</v>
      </c>
      <c r="I38" s="1">
        <f>COUNTIFS('Datos Jira'!$B$8:$B$234,A38,'Datos Jira'!$E$8:$E$234,"Finalizado")</f>
        <v>7</v>
      </c>
      <c r="J38" s="11">
        <f t="shared" si="6"/>
        <v>1</v>
      </c>
      <c r="K38" s="1">
        <f t="shared" si="7"/>
        <v>8</v>
      </c>
      <c r="L38" s="13"/>
      <c r="M38" s="14">
        <f t="shared" si="8"/>
        <v>0</v>
      </c>
      <c r="N38" s="14">
        <f t="shared" si="8"/>
        <v>0</v>
      </c>
      <c r="O38" s="14">
        <f t="shared" si="8"/>
        <v>0</v>
      </c>
      <c r="P38" s="14">
        <f t="shared" si="8"/>
        <v>0</v>
      </c>
      <c r="Q38" s="14">
        <f t="shared" si="8"/>
        <v>0</v>
      </c>
      <c r="R38" s="14">
        <f t="shared" si="8"/>
        <v>2</v>
      </c>
      <c r="S38" s="14">
        <f t="shared" si="8"/>
        <v>2</v>
      </c>
      <c r="T38" s="14">
        <f t="shared" si="8"/>
        <v>0</v>
      </c>
      <c r="U38" s="14">
        <f t="shared" si="8"/>
        <v>0</v>
      </c>
      <c r="V38" s="14">
        <f t="shared" si="8"/>
        <v>0</v>
      </c>
      <c r="W38" s="14">
        <f t="shared" si="8"/>
        <v>0</v>
      </c>
      <c r="X38" s="14">
        <f t="shared" si="8"/>
        <v>0</v>
      </c>
      <c r="Y38" s="14">
        <f t="shared" si="8"/>
        <v>0</v>
      </c>
      <c r="Z38" s="14">
        <f t="shared" si="8"/>
        <v>0</v>
      </c>
      <c r="AA38" s="14">
        <f t="shared" si="8"/>
        <v>0</v>
      </c>
      <c r="AB38" s="14">
        <f t="shared" si="8"/>
        <v>0</v>
      </c>
    </row>
    <row r="39" spans="1:28" ht="35" customHeight="1">
      <c r="A39" s="1" t="s">
        <v>77</v>
      </c>
      <c r="B39" s="7" t="s">
        <v>78</v>
      </c>
      <c r="C39" s="1" t="s">
        <v>19</v>
      </c>
      <c r="D39" s="12">
        <f>IF('Datos Jira'!G196="",'Datos Jira'!J196,'Datos Jira'!G196)</f>
        <v>46302</v>
      </c>
      <c r="E39" s="12">
        <f>IF('Datos Jira'!H196="",'Datos Jira'!K196,'Datos Jira'!H196)</f>
        <v>46319</v>
      </c>
      <c r="F39" s="1" t="s">
        <v>20</v>
      </c>
      <c r="G39" s="1" t="str">
        <f>'Datos Jira'!E196</f>
        <v>En curso</v>
      </c>
      <c r="H39" s="1">
        <v>1</v>
      </c>
      <c r="I39" s="1">
        <v>1</v>
      </c>
      <c r="J39" s="11">
        <f t="shared" si="6"/>
        <v>1</v>
      </c>
      <c r="K39" s="1">
        <f t="shared" si="7"/>
        <v>18</v>
      </c>
      <c r="L39" s="13"/>
      <c r="M39" s="14">
        <f t="shared" si="8"/>
        <v>0</v>
      </c>
      <c r="N39" s="14">
        <f t="shared" si="8"/>
        <v>0</v>
      </c>
      <c r="O39" s="14">
        <f t="shared" si="8"/>
        <v>0</v>
      </c>
      <c r="P39" s="14">
        <f t="shared" si="8"/>
        <v>0</v>
      </c>
      <c r="Q39" s="14">
        <f t="shared" si="8"/>
        <v>0</v>
      </c>
      <c r="R39" s="14">
        <f t="shared" si="8"/>
        <v>2</v>
      </c>
      <c r="S39" s="14">
        <f t="shared" si="8"/>
        <v>2</v>
      </c>
      <c r="T39" s="14">
        <f t="shared" si="8"/>
        <v>2</v>
      </c>
      <c r="U39" s="14">
        <f t="shared" si="8"/>
        <v>0</v>
      </c>
      <c r="V39" s="14">
        <f t="shared" si="8"/>
        <v>0</v>
      </c>
      <c r="W39" s="14">
        <f t="shared" si="8"/>
        <v>0</v>
      </c>
      <c r="X39" s="14">
        <f t="shared" si="8"/>
        <v>0</v>
      </c>
      <c r="Y39" s="14">
        <f t="shared" si="8"/>
        <v>0</v>
      </c>
      <c r="Z39" s="14">
        <f t="shared" si="8"/>
        <v>0</v>
      </c>
      <c r="AA39" s="14">
        <f t="shared" si="8"/>
        <v>0</v>
      </c>
      <c r="AB39" s="14">
        <f t="shared" si="8"/>
        <v>0</v>
      </c>
    </row>
    <row r="40" spans="1:28" ht="35" customHeight="1">
      <c r="A40" s="1" t="s">
        <v>79</v>
      </c>
      <c r="B40" s="7" t="s">
        <v>80</v>
      </c>
      <c r="C40" s="1" t="s">
        <v>37</v>
      </c>
      <c r="D40" s="15">
        <f>IF('Datos Jira'!G211="",'Datos Jira'!J211,'Datos Jira'!G211)</f>
        <v>46296</v>
      </c>
      <c r="E40" s="15">
        <f>IF('Datos Jira'!H211="",'Datos Jira'!K211,'Datos Jira'!H211)</f>
        <v>46308</v>
      </c>
      <c r="F40" s="1" t="s">
        <v>23</v>
      </c>
      <c r="G40" s="1" t="str">
        <f>'Datos Jira'!E211</f>
        <v>Finalizado</v>
      </c>
      <c r="H40" s="1">
        <f>COUNTIFS('Datos Jira'!$B$8:$B$234,A40)</f>
        <v>7</v>
      </c>
      <c r="I40" s="1">
        <f>COUNTIFS('Datos Jira'!$B$8:$B$234,A40,'Datos Jira'!$E$8:$E$234,"Finalizado")</f>
        <v>7</v>
      </c>
      <c r="J40" s="11">
        <f t="shared" si="6"/>
        <v>1</v>
      </c>
      <c r="K40" s="1">
        <f t="shared" si="7"/>
        <v>13</v>
      </c>
      <c r="L40" s="13"/>
      <c r="M40" s="14">
        <f t="shared" si="8"/>
        <v>0</v>
      </c>
      <c r="N40" s="14">
        <f t="shared" si="8"/>
        <v>0</v>
      </c>
      <c r="O40" s="14">
        <f t="shared" si="8"/>
        <v>0</v>
      </c>
      <c r="P40" s="14">
        <f t="shared" si="8"/>
        <v>0</v>
      </c>
      <c r="Q40" s="14">
        <f t="shared" si="8"/>
        <v>2</v>
      </c>
      <c r="R40" s="14">
        <f t="shared" si="8"/>
        <v>2</v>
      </c>
      <c r="S40" s="14">
        <f t="shared" si="8"/>
        <v>2</v>
      </c>
      <c r="T40" s="14">
        <f t="shared" si="8"/>
        <v>0</v>
      </c>
      <c r="U40" s="14">
        <f t="shared" si="8"/>
        <v>0</v>
      </c>
      <c r="V40" s="14">
        <f t="shared" si="8"/>
        <v>0</v>
      </c>
      <c r="W40" s="14">
        <f t="shared" si="8"/>
        <v>0</v>
      </c>
      <c r="X40" s="14">
        <f t="shared" si="8"/>
        <v>0</v>
      </c>
      <c r="Y40" s="14">
        <f t="shared" si="8"/>
        <v>0</v>
      </c>
      <c r="Z40" s="14">
        <f t="shared" si="8"/>
        <v>0</v>
      </c>
      <c r="AA40" s="14">
        <f t="shared" si="8"/>
        <v>0</v>
      </c>
      <c r="AB40" s="14">
        <f t="shared" si="8"/>
        <v>0</v>
      </c>
    </row>
    <row r="41" spans="1:28" ht="35" customHeight="1">
      <c r="A41" s="1" t="s">
        <v>81</v>
      </c>
      <c r="B41" s="7" t="s">
        <v>82</v>
      </c>
      <c r="C41" s="1" t="s">
        <v>37</v>
      </c>
      <c r="D41" s="15">
        <f>IF('Datos Jira'!G212="",'Datos Jira'!J212,'Datos Jira'!G212)</f>
        <v>46296</v>
      </c>
      <c r="E41" s="15">
        <f>IF('Datos Jira'!H212="",'Datos Jira'!K212,'Datos Jira'!H212)</f>
        <v>46308</v>
      </c>
      <c r="F41" s="1" t="s">
        <v>23</v>
      </c>
      <c r="G41" s="1" t="str">
        <f>'Datos Jira'!E212</f>
        <v>Finalizado</v>
      </c>
      <c r="H41" s="1">
        <f>COUNTIFS('Datos Jira'!$B$8:$B$234,A41)</f>
        <v>6</v>
      </c>
      <c r="I41" s="1">
        <f>COUNTIFS('Datos Jira'!$B$8:$B$234,A41,'Datos Jira'!$E$8:$E$234,"Finalizado")</f>
        <v>6</v>
      </c>
      <c r="J41" s="11">
        <f t="shared" si="6"/>
        <v>1</v>
      </c>
      <c r="K41" s="1">
        <f t="shared" si="7"/>
        <v>13</v>
      </c>
      <c r="L41" s="13"/>
      <c r="M41" s="14">
        <f t="shared" si="8"/>
        <v>0</v>
      </c>
      <c r="N41" s="14">
        <f t="shared" si="8"/>
        <v>0</v>
      </c>
      <c r="O41" s="14">
        <f t="shared" si="8"/>
        <v>0</v>
      </c>
      <c r="P41" s="14">
        <f t="shared" si="8"/>
        <v>0</v>
      </c>
      <c r="Q41" s="14">
        <f t="shared" si="8"/>
        <v>2</v>
      </c>
      <c r="R41" s="14">
        <f t="shared" si="8"/>
        <v>2</v>
      </c>
      <c r="S41" s="14">
        <f t="shared" si="8"/>
        <v>2</v>
      </c>
      <c r="T41" s="14">
        <f t="shared" si="8"/>
        <v>0</v>
      </c>
      <c r="U41" s="14">
        <f t="shared" si="8"/>
        <v>0</v>
      </c>
      <c r="V41" s="14">
        <f t="shared" si="8"/>
        <v>0</v>
      </c>
      <c r="W41" s="14">
        <f t="shared" si="8"/>
        <v>0</v>
      </c>
      <c r="X41" s="14">
        <f t="shared" si="8"/>
        <v>0</v>
      </c>
      <c r="Y41" s="14">
        <f t="shared" si="8"/>
        <v>0</v>
      </c>
      <c r="Z41" s="14">
        <f t="shared" si="8"/>
        <v>0</v>
      </c>
      <c r="AA41" s="14">
        <f t="shared" si="8"/>
        <v>0</v>
      </c>
      <c r="AB41" s="14">
        <f t="shared" si="8"/>
        <v>0</v>
      </c>
    </row>
    <row r="42" spans="1:28" ht="35" customHeight="1">
      <c r="A42" s="1" t="s">
        <v>83</v>
      </c>
      <c r="B42" s="7" t="s">
        <v>84</v>
      </c>
      <c r="C42" s="1" t="s">
        <v>37</v>
      </c>
      <c r="D42" s="15">
        <f>IF('Datos Jira'!G213="",'Datos Jira'!J213,'Datos Jira'!G213)</f>
        <v>46296</v>
      </c>
      <c r="E42" s="15">
        <f>IF('Datos Jira'!H213="",'Datos Jira'!K213,'Datos Jira'!H213)</f>
        <v>46308</v>
      </c>
      <c r="F42" s="1" t="s">
        <v>23</v>
      </c>
      <c r="G42" s="1" t="str">
        <f>'Datos Jira'!E213</f>
        <v>Finalizado</v>
      </c>
      <c r="H42" s="1">
        <f>COUNTIFS('Datos Jira'!$B$8:$B$234,A42)</f>
        <v>8</v>
      </c>
      <c r="I42" s="1">
        <f>COUNTIFS('Datos Jira'!$B$8:$B$234,A42,'Datos Jira'!$E$8:$E$234,"Finalizado")</f>
        <v>8</v>
      </c>
      <c r="J42" s="11">
        <f t="shared" si="6"/>
        <v>1</v>
      </c>
      <c r="K42" s="1">
        <f t="shared" si="7"/>
        <v>13</v>
      </c>
      <c r="L42" s="13"/>
      <c r="M42" s="14">
        <f t="shared" si="8"/>
        <v>0</v>
      </c>
      <c r="N42" s="14">
        <f t="shared" si="8"/>
        <v>0</v>
      </c>
      <c r="O42" s="14">
        <f t="shared" si="8"/>
        <v>0</v>
      </c>
      <c r="P42" s="14">
        <f t="shared" si="8"/>
        <v>0</v>
      </c>
      <c r="Q42" s="14">
        <f t="shared" si="8"/>
        <v>2</v>
      </c>
      <c r="R42" s="14">
        <f t="shared" si="8"/>
        <v>2</v>
      </c>
      <c r="S42" s="14">
        <f t="shared" si="8"/>
        <v>2</v>
      </c>
      <c r="T42" s="14">
        <f t="shared" si="8"/>
        <v>0</v>
      </c>
      <c r="U42" s="14">
        <f t="shared" si="8"/>
        <v>0</v>
      </c>
      <c r="V42" s="14">
        <f t="shared" si="8"/>
        <v>0</v>
      </c>
      <c r="W42" s="14">
        <f t="shared" si="8"/>
        <v>0</v>
      </c>
      <c r="X42" s="14">
        <f t="shared" si="8"/>
        <v>0</v>
      </c>
      <c r="Y42" s="14">
        <f t="shared" si="8"/>
        <v>0</v>
      </c>
      <c r="Z42" s="14">
        <f t="shared" si="8"/>
        <v>0</v>
      </c>
      <c r="AA42" s="14">
        <f t="shared" si="8"/>
        <v>0</v>
      </c>
      <c r="AB42" s="14">
        <f t="shared" si="8"/>
        <v>0</v>
      </c>
    </row>
    <row r="43" spans="1:28" ht="25" customHeight="1">
      <c r="A43" s="18"/>
      <c r="B43" s="18" t="s">
        <v>85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ht="35" customHeight="1">
      <c r="A44" s="1" t="s">
        <v>86</v>
      </c>
      <c r="B44" s="7" t="s">
        <v>87</v>
      </c>
      <c r="C44" s="1" t="s">
        <v>19</v>
      </c>
      <c r="D44" s="15">
        <f>IF('Datos Jira'!G31="",'Datos Jira'!J31,'Datos Jira'!G31)</f>
        <v>46321</v>
      </c>
      <c r="E44" s="15">
        <f>IF('Datos Jira'!H31="",'Datos Jira'!K31,'Datos Jira'!H31)</f>
        <v>46341</v>
      </c>
      <c r="F44" s="1" t="s">
        <v>59</v>
      </c>
      <c r="G44" s="1" t="str">
        <f>'Datos Jira'!E31</f>
        <v>Pendiente</v>
      </c>
      <c r="H44" s="1">
        <f>COUNTIFS('Datos Jira'!$B$8:$B$234,A44)</f>
        <v>6</v>
      </c>
      <c r="I44" s="1">
        <f>COUNTIFS('Datos Jira'!$B$8:$B$234,A44,'Datos Jira'!$E$8:$E$234,"Finalizado")</f>
        <v>0</v>
      </c>
      <c r="J44" s="11">
        <f t="shared" ref="J44:J53" si="9">IF(G44="Finalizado",1,IF(H44&gt;0,I44/H44,IF(G44="Pendiente",0,"")))</f>
        <v>0</v>
      </c>
      <c r="K44" s="1">
        <f t="shared" ref="K44:K53" si="10">E44-D44+1</f>
        <v>21</v>
      </c>
      <c r="L44" s="13"/>
      <c r="M44" s="14">
        <f t="shared" ref="M44:AB53" si="11">IF(AND($D44&lt;=M$9+6,$E44&gt;=M$9),IF(AND(ISNUMBER($J44),M$9&lt;=$D44+($E44-$D44+1)*$J44-1),2,1),0)</f>
        <v>0</v>
      </c>
      <c r="N44" s="14">
        <f t="shared" si="11"/>
        <v>0</v>
      </c>
      <c r="O44" s="14">
        <f t="shared" si="11"/>
        <v>0</v>
      </c>
      <c r="P44" s="14">
        <f t="shared" si="11"/>
        <v>0</v>
      </c>
      <c r="Q44" s="14">
        <f t="shared" si="11"/>
        <v>0</v>
      </c>
      <c r="R44" s="14">
        <f t="shared" si="11"/>
        <v>0</v>
      </c>
      <c r="S44" s="14">
        <f t="shared" si="11"/>
        <v>0</v>
      </c>
      <c r="T44" s="14">
        <f t="shared" si="11"/>
        <v>0</v>
      </c>
      <c r="U44" s="14">
        <f t="shared" si="11"/>
        <v>1</v>
      </c>
      <c r="V44" s="14">
        <f t="shared" si="11"/>
        <v>1</v>
      </c>
      <c r="W44" s="14">
        <f t="shared" si="11"/>
        <v>1</v>
      </c>
      <c r="X44" s="14">
        <f t="shared" si="11"/>
        <v>0</v>
      </c>
      <c r="Y44" s="14">
        <f t="shared" si="11"/>
        <v>0</v>
      </c>
      <c r="Z44" s="14">
        <f t="shared" si="11"/>
        <v>0</v>
      </c>
      <c r="AA44" s="14">
        <f t="shared" si="11"/>
        <v>0</v>
      </c>
      <c r="AB44" s="14">
        <f t="shared" si="11"/>
        <v>0</v>
      </c>
    </row>
    <row r="45" spans="1:28" ht="35" customHeight="1">
      <c r="A45" s="1" t="s">
        <v>88</v>
      </c>
      <c r="B45" s="7" t="s">
        <v>89</v>
      </c>
      <c r="C45" s="1" t="s">
        <v>19</v>
      </c>
      <c r="D45" s="15">
        <f>IF('Datos Jira'!G32="",'Datos Jira'!J32,'Datos Jira'!G32)</f>
        <v>46321</v>
      </c>
      <c r="E45" s="15">
        <f>IF('Datos Jira'!H32="",'Datos Jira'!K32,'Datos Jira'!H32)</f>
        <v>46341</v>
      </c>
      <c r="F45" s="1" t="s">
        <v>59</v>
      </c>
      <c r="G45" s="1" t="str">
        <f>'Datos Jira'!E32</f>
        <v>Pendiente</v>
      </c>
      <c r="H45" s="1">
        <f>COUNTIFS('Datos Jira'!$B$8:$B$234,A45)</f>
        <v>0</v>
      </c>
      <c r="I45" s="1">
        <f>COUNTIFS('Datos Jira'!$B$8:$B$234,A45,'Datos Jira'!$E$8:$E$234,"Finalizado")</f>
        <v>0</v>
      </c>
      <c r="J45" s="11">
        <f t="shared" si="9"/>
        <v>0</v>
      </c>
      <c r="K45" s="1">
        <f t="shared" si="10"/>
        <v>21</v>
      </c>
      <c r="L45" s="13"/>
      <c r="M45" s="14">
        <f t="shared" si="11"/>
        <v>0</v>
      </c>
      <c r="N45" s="14">
        <f t="shared" si="11"/>
        <v>0</v>
      </c>
      <c r="O45" s="14">
        <f t="shared" si="11"/>
        <v>0</v>
      </c>
      <c r="P45" s="14">
        <f t="shared" si="11"/>
        <v>0</v>
      </c>
      <c r="Q45" s="14">
        <f t="shared" si="11"/>
        <v>0</v>
      </c>
      <c r="R45" s="14">
        <f t="shared" si="11"/>
        <v>0</v>
      </c>
      <c r="S45" s="14">
        <f t="shared" si="11"/>
        <v>0</v>
      </c>
      <c r="T45" s="14">
        <f t="shared" si="11"/>
        <v>0</v>
      </c>
      <c r="U45" s="14">
        <f t="shared" si="11"/>
        <v>1</v>
      </c>
      <c r="V45" s="14">
        <f t="shared" si="11"/>
        <v>1</v>
      </c>
      <c r="W45" s="14">
        <f t="shared" si="11"/>
        <v>1</v>
      </c>
      <c r="X45" s="14">
        <f t="shared" si="11"/>
        <v>0</v>
      </c>
      <c r="Y45" s="14">
        <f t="shared" si="11"/>
        <v>0</v>
      </c>
      <c r="Z45" s="14">
        <f t="shared" si="11"/>
        <v>0</v>
      </c>
      <c r="AA45" s="14">
        <f t="shared" si="11"/>
        <v>0</v>
      </c>
      <c r="AB45" s="14">
        <f t="shared" si="11"/>
        <v>0</v>
      </c>
    </row>
    <row r="46" spans="1:28" ht="35" customHeight="1">
      <c r="A46" s="1" t="s">
        <v>90</v>
      </c>
      <c r="B46" s="7" t="s">
        <v>91</v>
      </c>
      <c r="C46" s="1" t="s">
        <v>50</v>
      </c>
      <c r="D46" s="15">
        <f>IF('Datos Jira'!G33="",'Datos Jira'!J33,'Datos Jira'!G33)</f>
        <v>46321</v>
      </c>
      <c r="E46" s="15">
        <f>IF('Datos Jira'!H33="",'Datos Jira'!K33,'Datos Jira'!H33)</f>
        <v>46341</v>
      </c>
      <c r="F46" s="1" t="s">
        <v>59</v>
      </c>
      <c r="G46" s="1" t="str">
        <f>'Datos Jira'!E33</f>
        <v>Pendiente</v>
      </c>
      <c r="H46" s="1">
        <f>COUNTIFS('Datos Jira'!$B$8:$B$234,A46)</f>
        <v>0</v>
      </c>
      <c r="I46" s="1">
        <f>COUNTIFS('Datos Jira'!$B$8:$B$234,A46,'Datos Jira'!$E$8:$E$234,"Finalizado")</f>
        <v>0</v>
      </c>
      <c r="J46" s="11">
        <f t="shared" si="9"/>
        <v>0</v>
      </c>
      <c r="K46" s="1">
        <f t="shared" si="10"/>
        <v>21</v>
      </c>
      <c r="L46" s="13"/>
      <c r="M46" s="14">
        <f t="shared" si="11"/>
        <v>0</v>
      </c>
      <c r="N46" s="14">
        <f t="shared" si="11"/>
        <v>0</v>
      </c>
      <c r="O46" s="14">
        <f t="shared" si="11"/>
        <v>0</v>
      </c>
      <c r="P46" s="14">
        <f t="shared" si="11"/>
        <v>0</v>
      </c>
      <c r="Q46" s="14">
        <f t="shared" si="11"/>
        <v>0</v>
      </c>
      <c r="R46" s="14">
        <f t="shared" si="11"/>
        <v>0</v>
      </c>
      <c r="S46" s="14">
        <f t="shared" si="11"/>
        <v>0</v>
      </c>
      <c r="T46" s="14">
        <f t="shared" si="11"/>
        <v>0</v>
      </c>
      <c r="U46" s="14">
        <f t="shared" si="11"/>
        <v>1</v>
      </c>
      <c r="V46" s="14">
        <f t="shared" si="11"/>
        <v>1</v>
      </c>
      <c r="W46" s="14">
        <f t="shared" si="11"/>
        <v>1</v>
      </c>
      <c r="X46" s="14">
        <f t="shared" si="11"/>
        <v>0</v>
      </c>
      <c r="Y46" s="14">
        <f t="shared" si="11"/>
        <v>0</v>
      </c>
      <c r="Z46" s="14">
        <f t="shared" si="11"/>
        <v>0</v>
      </c>
      <c r="AA46" s="14">
        <f t="shared" si="11"/>
        <v>0</v>
      </c>
      <c r="AB46" s="14">
        <f t="shared" si="11"/>
        <v>0</v>
      </c>
    </row>
    <row r="47" spans="1:28" ht="35" customHeight="1">
      <c r="A47" s="1" t="s">
        <v>92</v>
      </c>
      <c r="B47" s="7" t="s">
        <v>93</v>
      </c>
      <c r="C47" s="1" t="s">
        <v>50</v>
      </c>
      <c r="D47" s="15">
        <f>IF('Datos Jira'!G34="",'Datos Jira'!J34,'Datos Jira'!G34)</f>
        <v>46321</v>
      </c>
      <c r="E47" s="15">
        <f>IF('Datos Jira'!H34="",'Datos Jira'!K34,'Datos Jira'!H34)</f>
        <v>46341</v>
      </c>
      <c r="F47" s="1" t="s">
        <v>59</v>
      </c>
      <c r="G47" s="1" t="str">
        <f>'Datos Jira'!E34</f>
        <v>Pendiente</v>
      </c>
      <c r="H47" s="1">
        <f>COUNTIFS('Datos Jira'!$B$8:$B$234,A47)</f>
        <v>0</v>
      </c>
      <c r="I47" s="1">
        <f>COUNTIFS('Datos Jira'!$B$8:$B$234,A47,'Datos Jira'!$E$8:$E$234,"Finalizado")</f>
        <v>0</v>
      </c>
      <c r="J47" s="11">
        <f t="shared" si="9"/>
        <v>0</v>
      </c>
      <c r="K47" s="1">
        <f t="shared" si="10"/>
        <v>21</v>
      </c>
      <c r="L47" s="13"/>
      <c r="M47" s="14">
        <f t="shared" si="11"/>
        <v>0</v>
      </c>
      <c r="N47" s="14">
        <f t="shared" si="11"/>
        <v>0</v>
      </c>
      <c r="O47" s="14">
        <f t="shared" si="11"/>
        <v>0</v>
      </c>
      <c r="P47" s="14">
        <f t="shared" si="11"/>
        <v>0</v>
      </c>
      <c r="Q47" s="14">
        <f t="shared" si="11"/>
        <v>0</v>
      </c>
      <c r="R47" s="14">
        <f t="shared" si="11"/>
        <v>0</v>
      </c>
      <c r="S47" s="14">
        <f t="shared" si="11"/>
        <v>0</v>
      </c>
      <c r="T47" s="14">
        <f t="shared" si="11"/>
        <v>0</v>
      </c>
      <c r="U47" s="14">
        <f t="shared" si="11"/>
        <v>1</v>
      </c>
      <c r="V47" s="14">
        <f t="shared" si="11"/>
        <v>1</v>
      </c>
      <c r="W47" s="14">
        <f t="shared" si="11"/>
        <v>1</v>
      </c>
      <c r="X47" s="14">
        <f t="shared" si="11"/>
        <v>0</v>
      </c>
      <c r="Y47" s="14">
        <f t="shared" si="11"/>
        <v>0</v>
      </c>
      <c r="Z47" s="14">
        <f t="shared" si="11"/>
        <v>0</v>
      </c>
      <c r="AA47" s="14">
        <f t="shared" si="11"/>
        <v>0</v>
      </c>
      <c r="AB47" s="14">
        <f t="shared" si="11"/>
        <v>0</v>
      </c>
    </row>
    <row r="48" spans="1:28" ht="35" customHeight="1">
      <c r="A48" s="1" t="s">
        <v>94</v>
      </c>
      <c r="B48" s="7" t="s">
        <v>95</v>
      </c>
      <c r="C48" s="1" t="s">
        <v>50</v>
      </c>
      <c r="D48" s="15">
        <f>IF('Datos Jira'!G35="",'Datos Jira'!J35,'Datos Jira'!G35)</f>
        <v>46321</v>
      </c>
      <c r="E48" s="15">
        <f>IF('Datos Jira'!H35="",'Datos Jira'!K35,'Datos Jira'!H35)</f>
        <v>46341</v>
      </c>
      <c r="F48" s="1" t="s">
        <v>59</v>
      </c>
      <c r="G48" s="1" t="str">
        <f>'Datos Jira'!E35</f>
        <v>Pendiente</v>
      </c>
      <c r="H48" s="1">
        <f>COUNTIFS('Datos Jira'!$B$8:$B$234,A48)</f>
        <v>0</v>
      </c>
      <c r="I48" s="1">
        <f>COUNTIFS('Datos Jira'!$B$8:$B$234,A48,'Datos Jira'!$E$8:$E$234,"Finalizado")</f>
        <v>0</v>
      </c>
      <c r="J48" s="11">
        <f t="shared" si="9"/>
        <v>0</v>
      </c>
      <c r="K48" s="1">
        <f t="shared" si="10"/>
        <v>21</v>
      </c>
      <c r="L48" s="13"/>
      <c r="M48" s="14">
        <f t="shared" si="11"/>
        <v>0</v>
      </c>
      <c r="N48" s="14">
        <f t="shared" si="11"/>
        <v>0</v>
      </c>
      <c r="O48" s="14">
        <f t="shared" si="11"/>
        <v>0</v>
      </c>
      <c r="P48" s="14">
        <f t="shared" si="11"/>
        <v>0</v>
      </c>
      <c r="Q48" s="14">
        <f t="shared" si="11"/>
        <v>0</v>
      </c>
      <c r="R48" s="14">
        <f t="shared" si="11"/>
        <v>0</v>
      </c>
      <c r="S48" s="14">
        <f t="shared" si="11"/>
        <v>0</v>
      </c>
      <c r="T48" s="14">
        <f t="shared" si="11"/>
        <v>0</v>
      </c>
      <c r="U48" s="14">
        <f t="shared" si="11"/>
        <v>1</v>
      </c>
      <c r="V48" s="14">
        <f t="shared" si="11"/>
        <v>1</v>
      </c>
      <c r="W48" s="14">
        <f t="shared" si="11"/>
        <v>1</v>
      </c>
      <c r="X48" s="14">
        <f t="shared" si="11"/>
        <v>0</v>
      </c>
      <c r="Y48" s="14">
        <f t="shared" si="11"/>
        <v>0</v>
      </c>
      <c r="Z48" s="14">
        <f t="shared" si="11"/>
        <v>0</v>
      </c>
      <c r="AA48" s="14">
        <f t="shared" si="11"/>
        <v>0</v>
      </c>
      <c r="AB48" s="14">
        <f t="shared" si="11"/>
        <v>0</v>
      </c>
    </row>
    <row r="49" spans="1:28" ht="35" customHeight="1">
      <c r="A49" s="1" t="s">
        <v>96</v>
      </c>
      <c r="B49" s="7" t="s">
        <v>97</v>
      </c>
      <c r="C49" s="1" t="s">
        <v>50</v>
      </c>
      <c r="D49" s="15">
        <f>IF('Datos Jira'!G36="",'Datos Jira'!J36,'Datos Jira'!G36)</f>
        <v>46321</v>
      </c>
      <c r="E49" s="15">
        <f>IF('Datos Jira'!H36="",'Datos Jira'!K36,'Datos Jira'!H36)</f>
        <v>46341</v>
      </c>
      <c r="F49" s="1" t="s">
        <v>59</v>
      </c>
      <c r="G49" s="1" t="str">
        <f>'Datos Jira'!E36</f>
        <v>Pendiente</v>
      </c>
      <c r="H49" s="1">
        <f>COUNTIFS('Datos Jira'!$B$8:$B$234,A49)</f>
        <v>0</v>
      </c>
      <c r="I49" s="1">
        <f>COUNTIFS('Datos Jira'!$B$8:$B$234,A49,'Datos Jira'!$E$8:$E$234,"Finalizado")</f>
        <v>0</v>
      </c>
      <c r="J49" s="11">
        <f t="shared" si="9"/>
        <v>0</v>
      </c>
      <c r="K49" s="1">
        <f t="shared" si="10"/>
        <v>21</v>
      </c>
      <c r="L49" s="13"/>
      <c r="M49" s="14">
        <f t="shared" si="11"/>
        <v>0</v>
      </c>
      <c r="N49" s="14">
        <f t="shared" si="11"/>
        <v>0</v>
      </c>
      <c r="O49" s="14">
        <f t="shared" si="11"/>
        <v>0</v>
      </c>
      <c r="P49" s="14">
        <f t="shared" si="11"/>
        <v>0</v>
      </c>
      <c r="Q49" s="14">
        <f t="shared" si="11"/>
        <v>0</v>
      </c>
      <c r="R49" s="14">
        <f t="shared" si="11"/>
        <v>0</v>
      </c>
      <c r="S49" s="14">
        <f t="shared" si="11"/>
        <v>0</v>
      </c>
      <c r="T49" s="14">
        <f t="shared" si="11"/>
        <v>0</v>
      </c>
      <c r="U49" s="14">
        <f t="shared" si="11"/>
        <v>1</v>
      </c>
      <c r="V49" s="14">
        <f t="shared" si="11"/>
        <v>1</v>
      </c>
      <c r="W49" s="14">
        <f t="shared" si="11"/>
        <v>1</v>
      </c>
      <c r="X49" s="14">
        <f t="shared" si="11"/>
        <v>0</v>
      </c>
      <c r="Y49" s="14">
        <f t="shared" si="11"/>
        <v>0</v>
      </c>
      <c r="Z49" s="14">
        <f t="shared" si="11"/>
        <v>0</v>
      </c>
      <c r="AA49" s="14">
        <f t="shared" si="11"/>
        <v>0</v>
      </c>
      <c r="AB49" s="14">
        <f t="shared" si="11"/>
        <v>0</v>
      </c>
    </row>
    <row r="50" spans="1:28" ht="35" customHeight="1">
      <c r="A50" s="1" t="s">
        <v>98</v>
      </c>
      <c r="B50" s="7" t="s">
        <v>99</v>
      </c>
      <c r="C50" s="1" t="s">
        <v>37</v>
      </c>
      <c r="D50" s="15">
        <f>IF('Datos Jira'!G37="",'Datos Jira'!J37,'Datos Jira'!G37)</f>
        <v>46321</v>
      </c>
      <c r="E50" s="15">
        <f>IF('Datos Jira'!H37="",'Datos Jira'!K37,'Datos Jira'!H37)</f>
        <v>46341</v>
      </c>
      <c r="F50" s="1" t="s">
        <v>59</v>
      </c>
      <c r="G50" s="1" t="str">
        <f>'Datos Jira'!E37</f>
        <v>Pendiente</v>
      </c>
      <c r="H50" s="1">
        <f>COUNTIFS('Datos Jira'!$B$8:$B$234,A50)</f>
        <v>0</v>
      </c>
      <c r="I50" s="1">
        <f>COUNTIFS('Datos Jira'!$B$8:$B$234,A50,'Datos Jira'!$E$8:$E$234,"Finalizado")</f>
        <v>0</v>
      </c>
      <c r="J50" s="11">
        <f t="shared" si="9"/>
        <v>0</v>
      </c>
      <c r="K50" s="1">
        <f t="shared" si="10"/>
        <v>21</v>
      </c>
      <c r="L50" s="13"/>
      <c r="M50" s="14">
        <f t="shared" si="11"/>
        <v>0</v>
      </c>
      <c r="N50" s="14">
        <f t="shared" si="11"/>
        <v>0</v>
      </c>
      <c r="O50" s="14">
        <f t="shared" si="11"/>
        <v>0</v>
      </c>
      <c r="P50" s="14">
        <f t="shared" si="11"/>
        <v>0</v>
      </c>
      <c r="Q50" s="14">
        <f t="shared" si="11"/>
        <v>0</v>
      </c>
      <c r="R50" s="14">
        <f t="shared" si="11"/>
        <v>0</v>
      </c>
      <c r="S50" s="14">
        <f t="shared" si="11"/>
        <v>0</v>
      </c>
      <c r="T50" s="14">
        <f t="shared" si="11"/>
        <v>0</v>
      </c>
      <c r="U50" s="14">
        <f t="shared" si="11"/>
        <v>1</v>
      </c>
      <c r="V50" s="14">
        <f t="shared" si="11"/>
        <v>1</v>
      </c>
      <c r="W50" s="14">
        <f t="shared" si="11"/>
        <v>1</v>
      </c>
      <c r="X50" s="14">
        <f t="shared" si="11"/>
        <v>0</v>
      </c>
      <c r="Y50" s="14">
        <f t="shared" si="11"/>
        <v>0</v>
      </c>
      <c r="Z50" s="14">
        <f t="shared" si="11"/>
        <v>0</v>
      </c>
      <c r="AA50" s="14">
        <f t="shared" si="11"/>
        <v>0</v>
      </c>
      <c r="AB50" s="14">
        <f t="shared" si="11"/>
        <v>0</v>
      </c>
    </row>
    <row r="51" spans="1:28" ht="35" customHeight="1">
      <c r="A51" s="1" t="s">
        <v>100</v>
      </c>
      <c r="B51" s="7" t="s">
        <v>101</v>
      </c>
      <c r="C51" s="1" t="s">
        <v>19</v>
      </c>
      <c r="D51" s="15">
        <f>IF('Datos Jira'!G38="",'Datos Jira'!J38,'Datos Jira'!G38)</f>
        <v>46321</v>
      </c>
      <c r="E51" s="15">
        <f>IF('Datos Jira'!H38="",'Datos Jira'!K38,'Datos Jira'!H38)</f>
        <v>46341</v>
      </c>
      <c r="F51" s="1" t="s">
        <v>59</v>
      </c>
      <c r="G51" s="1" t="str">
        <f>'Datos Jira'!E38</f>
        <v>Pendiente</v>
      </c>
      <c r="H51" s="1">
        <f>COUNTIFS('Datos Jira'!$B$8:$B$234,A51)</f>
        <v>0</v>
      </c>
      <c r="I51" s="1">
        <f>COUNTIFS('Datos Jira'!$B$8:$B$234,A51,'Datos Jira'!$E$8:$E$234,"Finalizado")</f>
        <v>0</v>
      </c>
      <c r="J51" s="11">
        <f t="shared" si="9"/>
        <v>0</v>
      </c>
      <c r="K51" s="1">
        <f t="shared" si="10"/>
        <v>21</v>
      </c>
      <c r="L51" s="13"/>
      <c r="M51" s="14">
        <f t="shared" si="11"/>
        <v>0</v>
      </c>
      <c r="N51" s="14">
        <f t="shared" si="11"/>
        <v>0</v>
      </c>
      <c r="O51" s="14">
        <f t="shared" si="11"/>
        <v>0</v>
      </c>
      <c r="P51" s="14">
        <f t="shared" si="11"/>
        <v>0</v>
      </c>
      <c r="Q51" s="14">
        <f t="shared" si="11"/>
        <v>0</v>
      </c>
      <c r="R51" s="14">
        <f t="shared" si="11"/>
        <v>0</v>
      </c>
      <c r="S51" s="14">
        <f t="shared" si="11"/>
        <v>0</v>
      </c>
      <c r="T51" s="14">
        <f t="shared" si="11"/>
        <v>0</v>
      </c>
      <c r="U51" s="14">
        <f t="shared" si="11"/>
        <v>1</v>
      </c>
      <c r="V51" s="14">
        <f t="shared" si="11"/>
        <v>1</v>
      </c>
      <c r="W51" s="14">
        <f t="shared" si="11"/>
        <v>1</v>
      </c>
      <c r="X51" s="14">
        <f t="shared" si="11"/>
        <v>0</v>
      </c>
      <c r="Y51" s="14">
        <f t="shared" si="11"/>
        <v>0</v>
      </c>
      <c r="Z51" s="14">
        <f t="shared" si="11"/>
        <v>0</v>
      </c>
      <c r="AA51" s="14">
        <f t="shared" si="11"/>
        <v>0</v>
      </c>
      <c r="AB51" s="14">
        <f t="shared" si="11"/>
        <v>0</v>
      </c>
    </row>
    <row r="52" spans="1:28" ht="35" customHeight="1">
      <c r="A52" s="1" t="s">
        <v>102</v>
      </c>
      <c r="B52" s="7" t="s">
        <v>72</v>
      </c>
      <c r="C52" s="1" t="s">
        <v>50</v>
      </c>
      <c r="D52" s="15">
        <f>IF('Datos Jira'!G39="",'Datos Jira'!J39,'Datos Jira'!G39)</f>
        <v>46321</v>
      </c>
      <c r="E52" s="15">
        <f>IF('Datos Jira'!H39="",'Datos Jira'!K39,'Datos Jira'!H39)</f>
        <v>46341</v>
      </c>
      <c r="F52" s="1" t="s">
        <v>59</v>
      </c>
      <c r="G52" s="1" t="str">
        <f>'Datos Jira'!E39</f>
        <v>Pendiente</v>
      </c>
      <c r="H52" s="1">
        <f>COUNTIFS('Datos Jira'!$B$8:$B$234,A52)</f>
        <v>8</v>
      </c>
      <c r="I52" s="1">
        <f>COUNTIFS('Datos Jira'!$B$8:$B$234,A52,'Datos Jira'!$E$8:$E$234,"Finalizado")</f>
        <v>0</v>
      </c>
      <c r="J52" s="11">
        <f t="shared" si="9"/>
        <v>0</v>
      </c>
      <c r="K52" s="1">
        <f t="shared" si="10"/>
        <v>21</v>
      </c>
      <c r="L52" s="13"/>
      <c r="M52" s="14">
        <f t="shared" si="11"/>
        <v>0</v>
      </c>
      <c r="N52" s="14">
        <f t="shared" si="11"/>
        <v>0</v>
      </c>
      <c r="O52" s="14">
        <f t="shared" si="11"/>
        <v>0</v>
      </c>
      <c r="P52" s="14">
        <f t="shared" si="11"/>
        <v>0</v>
      </c>
      <c r="Q52" s="14">
        <f t="shared" si="11"/>
        <v>0</v>
      </c>
      <c r="R52" s="14">
        <f t="shared" si="11"/>
        <v>0</v>
      </c>
      <c r="S52" s="14">
        <f t="shared" si="11"/>
        <v>0</v>
      </c>
      <c r="T52" s="14">
        <f t="shared" si="11"/>
        <v>0</v>
      </c>
      <c r="U52" s="14">
        <f t="shared" si="11"/>
        <v>1</v>
      </c>
      <c r="V52" s="14">
        <f t="shared" si="11"/>
        <v>1</v>
      </c>
      <c r="W52" s="14">
        <f t="shared" si="11"/>
        <v>1</v>
      </c>
      <c r="X52" s="14">
        <f t="shared" si="11"/>
        <v>0</v>
      </c>
      <c r="Y52" s="14">
        <f t="shared" si="11"/>
        <v>0</v>
      </c>
      <c r="Z52" s="14">
        <f t="shared" si="11"/>
        <v>0</v>
      </c>
      <c r="AA52" s="14">
        <f t="shared" si="11"/>
        <v>0</v>
      </c>
      <c r="AB52" s="14">
        <f t="shared" si="11"/>
        <v>0</v>
      </c>
    </row>
    <row r="53" spans="1:28" ht="35" customHeight="1">
      <c r="A53" s="1" t="s">
        <v>103</v>
      </c>
      <c r="B53" s="7" t="s">
        <v>104</v>
      </c>
      <c r="C53" s="1" t="s">
        <v>19</v>
      </c>
      <c r="D53" s="15">
        <f>IF('Datos Jira'!G40="",'Datos Jira'!J40,'Datos Jira'!G40)</f>
        <v>46321</v>
      </c>
      <c r="E53" s="15">
        <f>IF('Datos Jira'!H40="",'Datos Jira'!K40,'Datos Jira'!H40)</f>
        <v>46341</v>
      </c>
      <c r="F53" s="1" t="s">
        <v>59</v>
      </c>
      <c r="G53" s="1" t="str">
        <f>'Datos Jira'!E40</f>
        <v>Pendiente</v>
      </c>
      <c r="H53" s="1">
        <f>COUNTIFS('Datos Jira'!$B$8:$B$234,A53)</f>
        <v>0</v>
      </c>
      <c r="I53" s="1">
        <f>COUNTIFS('Datos Jira'!$B$8:$B$234,A53,'Datos Jira'!$E$8:$E$234,"Finalizado")</f>
        <v>0</v>
      </c>
      <c r="J53" s="11">
        <f t="shared" si="9"/>
        <v>0</v>
      </c>
      <c r="K53" s="1">
        <f t="shared" si="10"/>
        <v>21</v>
      </c>
      <c r="L53" s="13"/>
      <c r="M53" s="14">
        <f t="shared" si="11"/>
        <v>0</v>
      </c>
      <c r="N53" s="14">
        <f t="shared" si="11"/>
        <v>0</v>
      </c>
      <c r="O53" s="14">
        <f t="shared" si="11"/>
        <v>0</v>
      </c>
      <c r="P53" s="14">
        <f t="shared" si="11"/>
        <v>0</v>
      </c>
      <c r="Q53" s="14">
        <f t="shared" si="11"/>
        <v>0</v>
      </c>
      <c r="R53" s="14">
        <f t="shared" si="11"/>
        <v>0</v>
      </c>
      <c r="S53" s="14">
        <f t="shared" si="11"/>
        <v>0</v>
      </c>
      <c r="T53" s="14">
        <f t="shared" si="11"/>
        <v>0</v>
      </c>
      <c r="U53" s="14">
        <f t="shared" si="11"/>
        <v>1</v>
      </c>
      <c r="V53" s="14">
        <f t="shared" si="11"/>
        <v>1</v>
      </c>
      <c r="W53" s="14">
        <f t="shared" si="11"/>
        <v>1</v>
      </c>
      <c r="X53" s="14">
        <f t="shared" si="11"/>
        <v>0</v>
      </c>
      <c r="Y53" s="14">
        <f t="shared" si="11"/>
        <v>0</v>
      </c>
      <c r="Z53" s="14">
        <f t="shared" si="11"/>
        <v>0</v>
      </c>
      <c r="AA53" s="14">
        <f t="shared" si="11"/>
        <v>0</v>
      </c>
      <c r="AB53" s="14">
        <f t="shared" si="11"/>
        <v>0</v>
      </c>
    </row>
    <row r="54" spans="1:28" ht="25" customHeight="1">
      <c r="A54" s="19"/>
      <c r="B54" s="19" t="s">
        <v>105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35" customHeight="1">
      <c r="A55" s="1" t="s">
        <v>106</v>
      </c>
      <c r="B55" s="7" t="s">
        <v>107</v>
      </c>
      <c r="C55" s="1" t="s">
        <v>19</v>
      </c>
      <c r="D55" s="15">
        <f>IF('Datos Jira'!G41="",'Datos Jira'!J41,'Datos Jira'!G41)</f>
        <v>46342</v>
      </c>
      <c r="E55" s="15">
        <f>IF('Datos Jira'!H41="",'Datos Jira'!K41,'Datos Jira'!H41)</f>
        <v>46362</v>
      </c>
      <c r="F55" s="1" t="s">
        <v>59</v>
      </c>
      <c r="G55" s="1" t="str">
        <f>'Datos Jira'!E41</f>
        <v>Pendiente</v>
      </c>
      <c r="H55" s="1">
        <f>COUNTIFS('Datos Jira'!$B$8:$B$234,A55)</f>
        <v>0</v>
      </c>
      <c r="I55" s="1">
        <f>COUNTIFS('Datos Jira'!$B$8:$B$234,A55,'Datos Jira'!$E$8:$E$234,"Finalizado")</f>
        <v>0</v>
      </c>
      <c r="J55" s="11">
        <f t="shared" ref="J55:J63" si="12">IF(G55="Finalizado",1,IF(H55&gt;0,I55/H55,IF(G55="Pendiente",0,"")))</f>
        <v>0</v>
      </c>
      <c r="K55" s="1">
        <f t="shared" ref="K55:K63" si="13">E55-D55+1</f>
        <v>21</v>
      </c>
      <c r="L55" s="13"/>
      <c r="M55" s="14">
        <f t="shared" ref="M55:AB63" si="14">IF(AND($D55&lt;=M$9+6,$E55&gt;=M$9),IF(AND(ISNUMBER($J55),M$9&lt;=$D55+($E55-$D55+1)*$J55-1),2,1),0)</f>
        <v>0</v>
      </c>
      <c r="N55" s="14">
        <f t="shared" si="14"/>
        <v>0</v>
      </c>
      <c r="O55" s="14">
        <f t="shared" si="14"/>
        <v>0</v>
      </c>
      <c r="P55" s="14">
        <f t="shared" si="14"/>
        <v>0</v>
      </c>
      <c r="Q55" s="14">
        <f t="shared" si="14"/>
        <v>0</v>
      </c>
      <c r="R55" s="14">
        <f t="shared" si="14"/>
        <v>0</v>
      </c>
      <c r="S55" s="14">
        <f t="shared" si="14"/>
        <v>0</v>
      </c>
      <c r="T55" s="14">
        <f t="shared" si="14"/>
        <v>0</v>
      </c>
      <c r="U55" s="14">
        <f t="shared" si="14"/>
        <v>0</v>
      </c>
      <c r="V55" s="14">
        <f t="shared" si="14"/>
        <v>0</v>
      </c>
      <c r="W55" s="14">
        <f t="shared" si="14"/>
        <v>0</v>
      </c>
      <c r="X55" s="14">
        <f t="shared" si="14"/>
        <v>1</v>
      </c>
      <c r="Y55" s="14">
        <f t="shared" si="14"/>
        <v>1</v>
      </c>
      <c r="Z55" s="14">
        <f t="shared" si="14"/>
        <v>1</v>
      </c>
      <c r="AA55" s="14">
        <f t="shared" si="14"/>
        <v>0</v>
      </c>
      <c r="AB55" s="14">
        <f t="shared" si="14"/>
        <v>0</v>
      </c>
    </row>
    <row r="56" spans="1:28" ht="35" customHeight="1">
      <c r="A56" s="1" t="s">
        <v>108</v>
      </c>
      <c r="B56" s="7" t="s">
        <v>109</v>
      </c>
      <c r="C56" s="1" t="s">
        <v>50</v>
      </c>
      <c r="D56" s="15">
        <f>IF('Datos Jira'!G42="",'Datos Jira'!J42,'Datos Jira'!G42)</f>
        <v>46342</v>
      </c>
      <c r="E56" s="15">
        <f>IF('Datos Jira'!H42="",'Datos Jira'!K42,'Datos Jira'!H42)</f>
        <v>46362</v>
      </c>
      <c r="F56" s="1" t="s">
        <v>59</v>
      </c>
      <c r="G56" s="1" t="str">
        <f>'Datos Jira'!E42</f>
        <v>Pendiente</v>
      </c>
      <c r="H56" s="1">
        <f>COUNTIFS('Datos Jira'!$B$8:$B$234,A56)</f>
        <v>0</v>
      </c>
      <c r="I56" s="1">
        <f>COUNTIFS('Datos Jira'!$B$8:$B$234,A56,'Datos Jira'!$E$8:$E$234,"Finalizado")</f>
        <v>0</v>
      </c>
      <c r="J56" s="11">
        <f t="shared" si="12"/>
        <v>0</v>
      </c>
      <c r="K56" s="1">
        <f t="shared" si="13"/>
        <v>21</v>
      </c>
      <c r="L56" s="13"/>
      <c r="M56" s="14">
        <f t="shared" si="14"/>
        <v>0</v>
      </c>
      <c r="N56" s="14">
        <f t="shared" si="14"/>
        <v>0</v>
      </c>
      <c r="O56" s="14">
        <f t="shared" si="14"/>
        <v>0</v>
      </c>
      <c r="P56" s="14">
        <f t="shared" si="14"/>
        <v>0</v>
      </c>
      <c r="Q56" s="14">
        <f t="shared" si="14"/>
        <v>0</v>
      </c>
      <c r="R56" s="14">
        <f t="shared" si="14"/>
        <v>0</v>
      </c>
      <c r="S56" s="14">
        <f t="shared" si="14"/>
        <v>0</v>
      </c>
      <c r="T56" s="14">
        <f t="shared" si="14"/>
        <v>0</v>
      </c>
      <c r="U56" s="14">
        <f t="shared" si="14"/>
        <v>0</v>
      </c>
      <c r="V56" s="14">
        <f t="shared" si="14"/>
        <v>0</v>
      </c>
      <c r="W56" s="14">
        <f t="shared" si="14"/>
        <v>0</v>
      </c>
      <c r="X56" s="14">
        <f t="shared" si="14"/>
        <v>1</v>
      </c>
      <c r="Y56" s="14">
        <f t="shared" si="14"/>
        <v>1</v>
      </c>
      <c r="Z56" s="14">
        <f t="shared" si="14"/>
        <v>1</v>
      </c>
      <c r="AA56" s="14">
        <f t="shared" si="14"/>
        <v>0</v>
      </c>
      <c r="AB56" s="14">
        <f t="shared" si="14"/>
        <v>0</v>
      </c>
    </row>
    <row r="57" spans="1:28" ht="35" customHeight="1">
      <c r="A57" s="1" t="s">
        <v>110</v>
      </c>
      <c r="B57" s="7" t="s">
        <v>111</v>
      </c>
      <c r="C57" s="1" t="s">
        <v>50</v>
      </c>
      <c r="D57" s="15">
        <f>IF('Datos Jira'!G43="",'Datos Jira'!J43,'Datos Jira'!G43)</f>
        <v>46342</v>
      </c>
      <c r="E57" s="15">
        <f>IF('Datos Jira'!H43="",'Datos Jira'!K43,'Datos Jira'!H43)</f>
        <v>46362</v>
      </c>
      <c r="F57" s="1" t="s">
        <v>59</v>
      </c>
      <c r="G57" s="1" t="str">
        <f>'Datos Jira'!E43</f>
        <v>Pendiente</v>
      </c>
      <c r="H57" s="1">
        <f>COUNTIFS('Datos Jira'!$B$8:$B$234,A57)</f>
        <v>0</v>
      </c>
      <c r="I57" s="1">
        <f>COUNTIFS('Datos Jira'!$B$8:$B$234,A57,'Datos Jira'!$E$8:$E$234,"Finalizado")</f>
        <v>0</v>
      </c>
      <c r="J57" s="11">
        <f t="shared" si="12"/>
        <v>0</v>
      </c>
      <c r="K57" s="1">
        <f t="shared" si="13"/>
        <v>21</v>
      </c>
      <c r="L57" s="13"/>
      <c r="M57" s="14">
        <f t="shared" si="14"/>
        <v>0</v>
      </c>
      <c r="N57" s="14">
        <f t="shared" si="14"/>
        <v>0</v>
      </c>
      <c r="O57" s="14">
        <f t="shared" si="14"/>
        <v>0</v>
      </c>
      <c r="P57" s="14">
        <f t="shared" si="14"/>
        <v>0</v>
      </c>
      <c r="Q57" s="14">
        <f t="shared" si="14"/>
        <v>0</v>
      </c>
      <c r="R57" s="14">
        <f t="shared" si="14"/>
        <v>0</v>
      </c>
      <c r="S57" s="14">
        <f t="shared" si="14"/>
        <v>0</v>
      </c>
      <c r="T57" s="14">
        <f t="shared" si="14"/>
        <v>0</v>
      </c>
      <c r="U57" s="14">
        <f t="shared" si="14"/>
        <v>0</v>
      </c>
      <c r="V57" s="14">
        <f t="shared" si="14"/>
        <v>0</v>
      </c>
      <c r="W57" s="14">
        <f t="shared" si="14"/>
        <v>0</v>
      </c>
      <c r="X57" s="14">
        <f t="shared" si="14"/>
        <v>1</v>
      </c>
      <c r="Y57" s="14">
        <f t="shared" si="14"/>
        <v>1</v>
      </c>
      <c r="Z57" s="14">
        <f t="shared" si="14"/>
        <v>1</v>
      </c>
      <c r="AA57" s="14">
        <f t="shared" si="14"/>
        <v>0</v>
      </c>
      <c r="AB57" s="14">
        <f t="shared" si="14"/>
        <v>0</v>
      </c>
    </row>
    <row r="58" spans="1:28" ht="35" customHeight="1">
      <c r="A58" s="1" t="s">
        <v>112</v>
      </c>
      <c r="B58" s="7" t="s">
        <v>113</v>
      </c>
      <c r="C58" s="1" t="s">
        <v>37</v>
      </c>
      <c r="D58" s="15">
        <f>IF('Datos Jira'!G44="",'Datos Jira'!J44,'Datos Jira'!G44)</f>
        <v>46342</v>
      </c>
      <c r="E58" s="15">
        <f>IF('Datos Jira'!H44="",'Datos Jira'!K44,'Datos Jira'!H44)</f>
        <v>46362</v>
      </c>
      <c r="F58" s="1" t="s">
        <v>59</v>
      </c>
      <c r="G58" s="1" t="str">
        <f>'Datos Jira'!E44</f>
        <v>Pendiente</v>
      </c>
      <c r="H58" s="1">
        <f>COUNTIFS('Datos Jira'!$B$8:$B$234,A58)</f>
        <v>0</v>
      </c>
      <c r="I58" s="1">
        <f>COUNTIFS('Datos Jira'!$B$8:$B$234,A58,'Datos Jira'!$E$8:$E$234,"Finalizado")</f>
        <v>0</v>
      </c>
      <c r="J58" s="11">
        <f t="shared" si="12"/>
        <v>0</v>
      </c>
      <c r="K58" s="1">
        <f t="shared" si="13"/>
        <v>21</v>
      </c>
      <c r="L58" s="13"/>
      <c r="M58" s="14">
        <f t="shared" si="14"/>
        <v>0</v>
      </c>
      <c r="N58" s="14">
        <f t="shared" si="14"/>
        <v>0</v>
      </c>
      <c r="O58" s="14">
        <f t="shared" si="14"/>
        <v>0</v>
      </c>
      <c r="P58" s="14">
        <f t="shared" si="14"/>
        <v>0</v>
      </c>
      <c r="Q58" s="14">
        <f t="shared" si="14"/>
        <v>0</v>
      </c>
      <c r="R58" s="14">
        <f t="shared" si="14"/>
        <v>0</v>
      </c>
      <c r="S58" s="14">
        <f t="shared" si="14"/>
        <v>0</v>
      </c>
      <c r="T58" s="14">
        <f t="shared" si="14"/>
        <v>0</v>
      </c>
      <c r="U58" s="14">
        <f t="shared" si="14"/>
        <v>0</v>
      </c>
      <c r="V58" s="14">
        <f t="shared" si="14"/>
        <v>0</v>
      </c>
      <c r="W58" s="14">
        <f t="shared" si="14"/>
        <v>0</v>
      </c>
      <c r="X58" s="14">
        <f t="shared" si="14"/>
        <v>1</v>
      </c>
      <c r="Y58" s="14">
        <f t="shared" si="14"/>
        <v>1</v>
      </c>
      <c r="Z58" s="14">
        <f t="shared" si="14"/>
        <v>1</v>
      </c>
      <c r="AA58" s="14">
        <f t="shared" si="14"/>
        <v>0</v>
      </c>
      <c r="AB58" s="14">
        <f t="shared" si="14"/>
        <v>0</v>
      </c>
    </row>
    <row r="59" spans="1:28" ht="35" customHeight="1">
      <c r="A59" s="1" t="s">
        <v>114</v>
      </c>
      <c r="B59" s="7" t="s">
        <v>115</v>
      </c>
      <c r="C59" s="1" t="s">
        <v>37</v>
      </c>
      <c r="D59" s="15">
        <f>IF('Datos Jira'!G45="",'Datos Jira'!J45,'Datos Jira'!G45)</f>
        <v>46342</v>
      </c>
      <c r="E59" s="15">
        <f>IF('Datos Jira'!H45="",'Datos Jira'!K45,'Datos Jira'!H45)</f>
        <v>46362</v>
      </c>
      <c r="F59" s="1" t="s">
        <v>59</v>
      </c>
      <c r="G59" s="1" t="str">
        <f>'Datos Jira'!E45</f>
        <v>Pendiente</v>
      </c>
      <c r="H59" s="1">
        <f>COUNTIFS('Datos Jira'!$B$8:$B$234,A59)</f>
        <v>0</v>
      </c>
      <c r="I59" s="1">
        <f>COUNTIFS('Datos Jira'!$B$8:$B$234,A59,'Datos Jira'!$E$8:$E$234,"Finalizado")</f>
        <v>0</v>
      </c>
      <c r="J59" s="11">
        <f t="shared" si="12"/>
        <v>0</v>
      </c>
      <c r="K59" s="1">
        <f t="shared" si="13"/>
        <v>21</v>
      </c>
      <c r="L59" s="13"/>
      <c r="M59" s="14">
        <f t="shared" si="14"/>
        <v>0</v>
      </c>
      <c r="N59" s="14">
        <f t="shared" si="14"/>
        <v>0</v>
      </c>
      <c r="O59" s="14">
        <f t="shared" si="14"/>
        <v>0</v>
      </c>
      <c r="P59" s="14">
        <f t="shared" si="14"/>
        <v>0</v>
      </c>
      <c r="Q59" s="14">
        <f t="shared" si="14"/>
        <v>0</v>
      </c>
      <c r="R59" s="14">
        <f t="shared" si="14"/>
        <v>0</v>
      </c>
      <c r="S59" s="14">
        <f t="shared" si="14"/>
        <v>0</v>
      </c>
      <c r="T59" s="14">
        <f t="shared" si="14"/>
        <v>0</v>
      </c>
      <c r="U59" s="14">
        <f t="shared" si="14"/>
        <v>0</v>
      </c>
      <c r="V59" s="14">
        <f t="shared" si="14"/>
        <v>0</v>
      </c>
      <c r="W59" s="14">
        <f t="shared" si="14"/>
        <v>0</v>
      </c>
      <c r="X59" s="14">
        <f t="shared" si="14"/>
        <v>1</v>
      </c>
      <c r="Y59" s="14">
        <f t="shared" si="14"/>
        <v>1</v>
      </c>
      <c r="Z59" s="14">
        <f t="shared" si="14"/>
        <v>1</v>
      </c>
      <c r="AA59" s="14">
        <f t="shared" si="14"/>
        <v>0</v>
      </c>
      <c r="AB59" s="14">
        <f t="shared" si="14"/>
        <v>0</v>
      </c>
    </row>
    <row r="60" spans="1:28" ht="35" customHeight="1">
      <c r="A60" s="1" t="s">
        <v>116</v>
      </c>
      <c r="B60" s="7" t="s">
        <v>72</v>
      </c>
      <c r="C60" s="1" t="s">
        <v>50</v>
      </c>
      <c r="D60" s="15">
        <f>IF('Datos Jira'!G46="",'Datos Jira'!J46,'Datos Jira'!G46)</f>
        <v>46342</v>
      </c>
      <c r="E60" s="15">
        <f>IF('Datos Jira'!H46="",'Datos Jira'!K46,'Datos Jira'!H46)</f>
        <v>46362</v>
      </c>
      <c r="F60" s="1" t="s">
        <v>59</v>
      </c>
      <c r="G60" s="1" t="str">
        <f>'Datos Jira'!E46</f>
        <v>Pendiente</v>
      </c>
      <c r="H60" s="1">
        <f>COUNTIFS('Datos Jira'!$B$8:$B$234,A60)</f>
        <v>0</v>
      </c>
      <c r="I60" s="1">
        <f>COUNTIFS('Datos Jira'!$B$8:$B$234,A60,'Datos Jira'!$E$8:$E$234,"Finalizado")</f>
        <v>0</v>
      </c>
      <c r="J60" s="11">
        <f t="shared" si="12"/>
        <v>0</v>
      </c>
      <c r="K60" s="1">
        <f t="shared" si="13"/>
        <v>21</v>
      </c>
      <c r="L60" s="13"/>
      <c r="M60" s="14">
        <f t="shared" si="14"/>
        <v>0</v>
      </c>
      <c r="N60" s="14">
        <f t="shared" si="14"/>
        <v>0</v>
      </c>
      <c r="O60" s="14">
        <f t="shared" si="14"/>
        <v>0</v>
      </c>
      <c r="P60" s="14">
        <f t="shared" si="14"/>
        <v>0</v>
      </c>
      <c r="Q60" s="14">
        <f t="shared" si="14"/>
        <v>0</v>
      </c>
      <c r="R60" s="14">
        <f t="shared" si="14"/>
        <v>0</v>
      </c>
      <c r="S60" s="14">
        <f t="shared" si="14"/>
        <v>0</v>
      </c>
      <c r="T60" s="14">
        <f t="shared" si="14"/>
        <v>0</v>
      </c>
      <c r="U60" s="14">
        <f t="shared" si="14"/>
        <v>0</v>
      </c>
      <c r="V60" s="14">
        <f t="shared" si="14"/>
        <v>0</v>
      </c>
      <c r="W60" s="14">
        <f t="shared" si="14"/>
        <v>0</v>
      </c>
      <c r="X60" s="14">
        <f t="shared" si="14"/>
        <v>1</v>
      </c>
      <c r="Y60" s="14">
        <f t="shared" si="14"/>
        <v>1</v>
      </c>
      <c r="Z60" s="14">
        <f t="shared" si="14"/>
        <v>1</v>
      </c>
      <c r="AA60" s="14">
        <f t="shared" si="14"/>
        <v>0</v>
      </c>
      <c r="AB60" s="14">
        <f t="shared" si="14"/>
        <v>0</v>
      </c>
    </row>
    <row r="61" spans="1:28" ht="35" customHeight="1">
      <c r="A61" s="1" t="s">
        <v>117</v>
      </c>
      <c r="B61" s="7" t="s">
        <v>118</v>
      </c>
      <c r="C61" s="1" t="s">
        <v>19</v>
      </c>
      <c r="D61" s="15">
        <f>IF('Datos Jira'!G47="",'Datos Jira'!J47,'Datos Jira'!G47)</f>
        <v>46342</v>
      </c>
      <c r="E61" s="15">
        <f>IF('Datos Jira'!H47="",'Datos Jira'!K47,'Datos Jira'!H47)</f>
        <v>46362</v>
      </c>
      <c r="F61" s="1" t="s">
        <v>59</v>
      </c>
      <c r="G61" s="1" t="str">
        <f>'Datos Jira'!E47</f>
        <v>Pendiente</v>
      </c>
      <c r="H61" s="1">
        <f>COUNTIFS('Datos Jira'!$B$8:$B$234,A61)</f>
        <v>0</v>
      </c>
      <c r="I61" s="1">
        <f>COUNTIFS('Datos Jira'!$B$8:$B$234,A61,'Datos Jira'!$E$8:$E$234,"Finalizado")</f>
        <v>0</v>
      </c>
      <c r="J61" s="11">
        <f t="shared" si="12"/>
        <v>0</v>
      </c>
      <c r="K61" s="1">
        <f t="shared" si="13"/>
        <v>21</v>
      </c>
      <c r="L61" s="13"/>
      <c r="M61" s="14">
        <f t="shared" si="14"/>
        <v>0</v>
      </c>
      <c r="N61" s="14">
        <f t="shared" si="14"/>
        <v>0</v>
      </c>
      <c r="O61" s="14">
        <f t="shared" si="14"/>
        <v>0</v>
      </c>
      <c r="P61" s="14">
        <f t="shared" si="14"/>
        <v>0</v>
      </c>
      <c r="Q61" s="14">
        <f t="shared" si="14"/>
        <v>0</v>
      </c>
      <c r="R61" s="14">
        <f t="shared" si="14"/>
        <v>0</v>
      </c>
      <c r="S61" s="14">
        <f t="shared" si="14"/>
        <v>0</v>
      </c>
      <c r="T61" s="14">
        <f t="shared" si="14"/>
        <v>0</v>
      </c>
      <c r="U61" s="14">
        <f t="shared" si="14"/>
        <v>0</v>
      </c>
      <c r="V61" s="14">
        <f t="shared" si="14"/>
        <v>0</v>
      </c>
      <c r="W61" s="14">
        <f t="shared" si="14"/>
        <v>0</v>
      </c>
      <c r="X61" s="14">
        <f t="shared" si="14"/>
        <v>1</v>
      </c>
      <c r="Y61" s="14">
        <f t="shared" si="14"/>
        <v>1</v>
      </c>
      <c r="Z61" s="14">
        <f t="shared" si="14"/>
        <v>1</v>
      </c>
      <c r="AA61" s="14">
        <f t="shared" si="14"/>
        <v>0</v>
      </c>
      <c r="AB61" s="14">
        <f t="shared" si="14"/>
        <v>0</v>
      </c>
    </row>
    <row r="62" spans="1:28" ht="35" customHeight="1">
      <c r="A62" s="1" t="s">
        <v>119</v>
      </c>
      <c r="B62" s="7" t="s">
        <v>120</v>
      </c>
      <c r="C62" s="1" t="s">
        <v>19</v>
      </c>
      <c r="D62" s="15">
        <f>IF('Datos Jira'!G48="",'Datos Jira'!J48,'Datos Jira'!G48)</f>
        <v>46342</v>
      </c>
      <c r="E62" s="15">
        <f>IF('Datos Jira'!H48="",'Datos Jira'!K48,'Datos Jira'!H48)</f>
        <v>46362</v>
      </c>
      <c r="F62" s="1" t="s">
        <v>59</v>
      </c>
      <c r="G62" s="1" t="str">
        <f>'Datos Jira'!E48</f>
        <v>Pendiente</v>
      </c>
      <c r="H62" s="1">
        <f>COUNTIFS('Datos Jira'!$B$8:$B$234,A62)</f>
        <v>0</v>
      </c>
      <c r="I62" s="1">
        <f>COUNTIFS('Datos Jira'!$B$8:$B$234,A62,'Datos Jira'!$E$8:$E$234,"Finalizado")</f>
        <v>0</v>
      </c>
      <c r="J62" s="11">
        <f t="shared" si="12"/>
        <v>0</v>
      </c>
      <c r="K62" s="1">
        <f t="shared" si="13"/>
        <v>21</v>
      </c>
      <c r="L62" s="13"/>
      <c r="M62" s="14">
        <f t="shared" si="14"/>
        <v>0</v>
      </c>
      <c r="N62" s="14">
        <f t="shared" si="14"/>
        <v>0</v>
      </c>
      <c r="O62" s="14">
        <f t="shared" si="14"/>
        <v>0</v>
      </c>
      <c r="P62" s="14">
        <f t="shared" si="14"/>
        <v>0</v>
      </c>
      <c r="Q62" s="14">
        <f t="shared" si="14"/>
        <v>0</v>
      </c>
      <c r="R62" s="14">
        <f t="shared" si="14"/>
        <v>0</v>
      </c>
      <c r="S62" s="14">
        <f t="shared" si="14"/>
        <v>0</v>
      </c>
      <c r="T62" s="14">
        <f t="shared" si="14"/>
        <v>0</v>
      </c>
      <c r="U62" s="14">
        <f t="shared" si="14"/>
        <v>0</v>
      </c>
      <c r="V62" s="14">
        <f t="shared" si="14"/>
        <v>0</v>
      </c>
      <c r="W62" s="14">
        <f t="shared" si="14"/>
        <v>0</v>
      </c>
      <c r="X62" s="14">
        <f t="shared" si="14"/>
        <v>1</v>
      </c>
      <c r="Y62" s="14">
        <f t="shared" si="14"/>
        <v>1</v>
      </c>
      <c r="Z62" s="14">
        <f t="shared" si="14"/>
        <v>1</v>
      </c>
      <c r="AA62" s="14">
        <f t="shared" si="14"/>
        <v>0</v>
      </c>
      <c r="AB62" s="14">
        <f t="shared" si="14"/>
        <v>0</v>
      </c>
    </row>
    <row r="63" spans="1:28" ht="35" customHeight="1">
      <c r="A63" s="1" t="s">
        <v>121</v>
      </c>
      <c r="B63" s="7" t="s">
        <v>122</v>
      </c>
      <c r="C63" s="1" t="s">
        <v>19</v>
      </c>
      <c r="D63" s="15">
        <f>IF('Datos Jira'!G49="",'Datos Jira'!J49,'Datos Jira'!G49)</f>
        <v>46342</v>
      </c>
      <c r="E63" s="15">
        <f>IF('Datos Jira'!H49="",'Datos Jira'!K49,'Datos Jira'!H49)</f>
        <v>46362</v>
      </c>
      <c r="F63" s="1" t="s">
        <v>59</v>
      </c>
      <c r="G63" s="1" t="str">
        <f>'Datos Jira'!E49</f>
        <v>Pendiente</v>
      </c>
      <c r="H63" s="1">
        <f>COUNTIFS('Datos Jira'!$B$8:$B$234,A63)</f>
        <v>0</v>
      </c>
      <c r="I63" s="1">
        <f>COUNTIFS('Datos Jira'!$B$8:$B$234,A63,'Datos Jira'!$E$8:$E$234,"Finalizado")</f>
        <v>0</v>
      </c>
      <c r="J63" s="11">
        <f t="shared" si="12"/>
        <v>0</v>
      </c>
      <c r="K63" s="1">
        <f t="shared" si="13"/>
        <v>21</v>
      </c>
      <c r="L63" s="13"/>
      <c r="M63" s="14">
        <f t="shared" si="14"/>
        <v>0</v>
      </c>
      <c r="N63" s="14">
        <f t="shared" si="14"/>
        <v>0</v>
      </c>
      <c r="O63" s="14">
        <f t="shared" si="14"/>
        <v>0</v>
      </c>
      <c r="P63" s="14">
        <f t="shared" si="14"/>
        <v>0</v>
      </c>
      <c r="Q63" s="14">
        <f t="shared" si="14"/>
        <v>0</v>
      </c>
      <c r="R63" s="14">
        <f t="shared" si="14"/>
        <v>0</v>
      </c>
      <c r="S63" s="14">
        <f t="shared" si="14"/>
        <v>0</v>
      </c>
      <c r="T63" s="14">
        <f t="shared" si="14"/>
        <v>0</v>
      </c>
      <c r="U63" s="14">
        <f t="shared" si="14"/>
        <v>0</v>
      </c>
      <c r="V63" s="14">
        <f t="shared" si="14"/>
        <v>0</v>
      </c>
      <c r="W63" s="14">
        <f t="shared" si="14"/>
        <v>0</v>
      </c>
      <c r="X63" s="14">
        <f t="shared" si="14"/>
        <v>1</v>
      </c>
      <c r="Y63" s="14">
        <f t="shared" si="14"/>
        <v>1</v>
      </c>
      <c r="Z63" s="14">
        <f t="shared" si="14"/>
        <v>1</v>
      </c>
      <c r="AA63" s="14">
        <f t="shared" si="14"/>
        <v>0</v>
      </c>
      <c r="AB63" s="14">
        <f t="shared" si="14"/>
        <v>0</v>
      </c>
    </row>
    <row r="64" spans="1:28" ht="25" customHeight="1">
      <c r="A64" s="20"/>
      <c r="B64" s="20" t="s">
        <v>123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35" customHeight="1">
      <c r="A65" s="1" t="s">
        <v>124</v>
      </c>
      <c r="B65" s="7" t="s">
        <v>125</v>
      </c>
      <c r="C65" s="1" t="s">
        <v>126</v>
      </c>
      <c r="D65" s="15">
        <v>46363</v>
      </c>
      <c r="E65" s="15">
        <v>46376</v>
      </c>
      <c r="F65" s="1" t="s">
        <v>127</v>
      </c>
      <c r="G65" s="1" t="s">
        <v>128</v>
      </c>
      <c r="H65" s="1">
        <v>0</v>
      </c>
      <c r="I65" s="1">
        <v>0</v>
      </c>
      <c r="J65" s="11"/>
      <c r="K65" s="1">
        <f>E65-D65+1</f>
        <v>14</v>
      </c>
      <c r="L65" s="13"/>
      <c r="M65" s="14">
        <f t="shared" ref="M65:AB65" si="15">IF(AND($D65&lt;=M$9+6,$E65&gt;=M$9),IF(AND(ISNUMBER($J65),M$9&lt;=$D65+($E65-$D65+1)*$J65-1),2,1),0)</f>
        <v>0</v>
      </c>
      <c r="N65" s="14">
        <f t="shared" si="15"/>
        <v>0</v>
      </c>
      <c r="O65" s="14">
        <f t="shared" si="15"/>
        <v>0</v>
      </c>
      <c r="P65" s="14">
        <f t="shared" si="15"/>
        <v>0</v>
      </c>
      <c r="Q65" s="14">
        <f t="shared" si="15"/>
        <v>0</v>
      </c>
      <c r="R65" s="14">
        <f t="shared" si="15"/>
        <v>0</v>
      </c>
      <c r="S65" s="14">
        <f t="shared" si="15"/>
        <v>0</v>
      </c>
      <c r="T65" s="14">
        <f t="shared" si="15"/>
        <v>0</v>
      </c>
      <c r="U65" s="14">
        <f t="shared" si="15"/>
        <v>0</v>
      </c>
      <c r="V65" s="14">
        <f t="shared" si="15"/>
        <v>0</v>
      </c>
      <c r="W65" s="14">
        <f t="shared" si="15"/>
        <v>0</v>
      </c>
      <c r="X65" s="14">
        <f t="shared" si="15"/>
        <v>0</v>
      </c>
      <c r="Y65" s="14">
        <f t="shared" si="15"/>
        <v>0</v>
      </c>
      <c r="Z65" s="14">
        <f t="shared" si="15"/>
        <v>0</v>
      </c>
      <c r="AA65" s="14">
        <f t="shared" si="15"/>
        <v>1</v>
      </c>
      <c r="AB65" s="14">
        <f t="shared" si="15"/>
        <v>1</v>
      </c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 t="s">
        <v>129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 t="s">
        <v>130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 t="s">
        <v>131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</sheetData>
  <conditionalFormatting sqref="D11:E16">
    <cfRule type="expression" dxfId="17" priority="3">
      <formula>$E11&lt;$D11</formula>
    </cfRule>
  </conditionalFormatting>
  <conditionalFormatting sqref="D18:E29">
    <cfRule type="expression" dxfId="16" priority="21">
      <formula>$E18&lt;$D18</formula>
    </cfRule>
  </conditionalFormatting>
  <conditionalFormatting sqref="D31:E42">
    <cfRule type="expression" dxfId="15" priority="57">
      <formula>$E31&lt;$D31</formula>
    </cfRule>
  </conditionalFormatting>
  <conditionalFormatting sqref="D44:E53">
    <cfRule type="expression" dxfId="14" priority="93">
      <formula>$E44&lt;$D44</formula>
    </cfRule>
  </conditionalFormatting>
  <conditionalFormatting sqref="D55:E63">
    <cfRule type="expression" dxfId="13" priority="123">
      <formula>$E55&lt;$D55</formula>
    </cfRule>
  </conditionalFormatting>
  <conditionalFormatting sqref="D65:E65">
    <cfRule type="expression" dxfId="12" priority="150">
      <formula>$E65&lt;$D65</formula>
    </cfRule>
  </conditionalFormatting>
  <conditionalFormatting sqref="M11:AB16">
    <cfRule type="cellIs" dxfId="11" priority="1" operator="equal">
      <formula>1</formula>
    </cfRule>
    <cfRule type="cellIs" dxfId="10" priority="2" operator="equal">
      <formula>2</formula>
    </cfRule>
  </conditionalFormatting>
  <conditionalFormatting sqref="M18:AB29">
    <cfRule type="cellIs" dxfId="9" priority="19" operator="equal">
      <formula>1</formula>
    </cfRule>
    <cfRule type="cellIs" dxfId="8" priority="20" operator="equal">
      <formula>2</formula>
    </cfRule>
  </conditionalFormatting>
  <conditionalFormatting sqref="M31:AB42">
    <cfRule type="cellIs" dxfId="7" priority="55" operator="equal">
      <formula>1</formula>
    </cfRule>
    <cfRule type="cellIs" dxfId="6" priority="56" operator="equal">
      <formula>2</formula>
    </cfRule>
  </conditionalFormatting>
  <conditionalFormatting sqref="M44:AB53">
    <cfRule type="cellIs" dxfId="5" priority="91" operator="equal">
      <formula>1</formula>
    </cfRule>
    <cfRule type="cellIs" dxfId="4" priority="92" operator="equal">
      <formula>2</formula>
    </cfRule>
  </conditionalFormatting>
  <conditionalFormatting sqref="M55:AB63">
    <cfRule type="cellIs" dxfId="3" priority="121" operator="equal">
      <formula>1</formula>
    </cfRule>
    <cfRule type="cellIs" dxfId="2" priority="122" operator="equal">
      <formula>2</formula>
    </cfRule>
  </conditionalFormatting>
  <conditionalFormatting sqref="M65:AB65">
    <cfRule type="cellIs" dxfId="1" priority="148" operator="equal">
      <formula>1</formula>
    </cfRule>
    <cfRule type="cellIs" dxfId="0" priority="149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0"/>
  <sheetViews>
    <sheetView showGridLines="0" workbookViewId="0">
      <pane xSplit="2" ySplit="7" topLeftCell="C27" activePane="bottomRight" state="frozen"/>
      <selection pane="topRight"/>
      <selection pane="bottomLeft"/>
      <selection pane="bottomRight" activeCell="A7" sqref="A7"/>
    </sheetView>
  </sheetViews>
  <sheetFormatPr baseColWidth="10" defaultColWidth="8.83203125" defaultRowHeight="14"/>
  <cols>
    <col min="1" max="2" width="15" customWidth="1"/>
    <col min="3" max="3" width="65" customWidth="1"/>
    <col min="4" max="4" width="12" customWidth="1"/>
    <col min="5" max="5" width="15" customWidth="1"/>
    <col min="6" max="8" width="16" customWidth="1"/>
    <col min="9" max="9" width="38" customWidth="1"/>
    <col min="10" max="11" width="16" customWidth="1"/>
    <col min="12" max="12" width="14" customWidth="1"/>
    <col min="13" max="13" width="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>
      <c r="A2" s="4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133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134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738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 t="s">
        <v>737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8" customHeight="1">
      <c r="A7" s="6" t="s">
        <v>4</v>
      </c>
      <c r="B7" s="6" t="s">
        <v>135</v>
      </c>
      <c r="C7" s="6" t="s">
        <v>136</v>
      </c>
      <c r="D7" s="6" t="s">
        <v>137</v>
      </c>
      <c r="E7" s="6" t="s">
        <v>138</v>
      </c>
      <c r="F7" s="6" t="s">
        <v>6</v>
      </c>
      <c r="G7" s="6" t="s">
        <v>139</v>
      </c>
      <c r="H7" s="6" t="s">
        <v>140</v>
      </c>
      <c r="I7" s="6" t="s">
        <v>59</v>
      </c>
      <c r="J7" s="6" t="s">
        <v>141</v>
      </c>
      <c r="K7" s="6" t="s">
        <v>142</v>
      </c>
      <c r="L7" s="6" t="s">
        <v>143</v>
      </c>
      <c r="M7" s="6" t="s">
        <v>144</v>
      </c>
    </row>
    <row r="8" spans="1:13" ht="36" customHeight="1">
      <c r="A8" s="1" t="s">
        <v>17</v>
      </c>
      <c r="B8" s="1"/>
      <c r="C8" s="7" t="s">
        <v>18</v>
      </c>
      <c r="D8" s="1" t="s">
        <v>145</v>
      </c>
      <c r="E8" s="1" t="s">
        <v>146</v>
      </c>
      <c r="F8" s="1" t="s">
        <v>19</v>
      </c>
      <c r="G8" s="5">
        <v>46265</v>
      </c>
      <c r="H8" s="5">
        <v>46270</v>
      </c>
      <c r="I8" s="1" t="s">
        <v>147</v>
      </c>
      <c r="J8" s="5">
        <v>46265</v>
      </c>
      <c r="K8" s="5">
        <v>46278</v>
      </c>
      <c r="L8" s="1">
        <v>2</v>
      </c>
      <c r="M8" s="1" t="s">
        <v>148</v>
      </c>
    </row>
    <row r="9" spans="1:13" ht="36" customHeight="1">
      <c r="A9" s="1" t="s">
        <v>21</v>
      </c>
      <c r="B9" s="1"/>
      <c r="C9" s="7" t="s">
        <v>22</v>
      </c>
      <c r="D9" s="1" t="s">
        <v>145</v>
      </c>
      <c r="E9" s="1" t="s">
        <v>146</v>
      </c>
      <c r="F9" s="1" t="s">
        <v>19</v>
      </c>
      <c r="G9" s="5"/>
      <c r="H9" s="5">
        <v>46278</v>
      </c>
      <c r="I9" s="1" t="s">
        <v>147</v>
      </c>
      <c r="J9" s="5">
        <v>46265</v>
      </c>
      <c r="K9" s="5">
        <v>46278</v>
      </c>
      <c r="L9" s="1">
        <v>3</v>
      </c>
      <c r="M9" s="1" t="s">
        <v>149</v>
      </c>
    </row>
    <row r="10" spans="1:13" ht="36" customHeight="1">
      <c r="A10" s="1" t="s">
        <v>24</v>
      </c>
      <c r="B10" s="1"/>
      <c r="C10" s="7" t="s">
        <v>25</v>
      </c>
      <c r="D10" s="1" t="s">
        <v>145</v>
      </c>
      <c r="E10" s="1" t="s">
        <v>146</v>
      </c>
      <c r="F10" s="1" t="s">
        <v>19</v>
      </c>
      <c r="G10" s="5"/>
      <c r="H10" s="5">
        <v>46278</v>
      </c>
      <c r="I10" s="1" t="s">
        <v>147</v>
      </c>
      <c r="J10" s="5">
        <v>46265</v>
      </c>
      <c r="K10" s="5">
        <v>46278</v>
      </c>
      <c r="L10" s="1">
        <v>4</v>
      </c>
      <c r="M10" s="1" t="s">
        <v>150</v>
      </c>
    </row>
    <row r="11" spans="1:13" ht="36" customHeight="1">
      <c r="A11" s="1" t="s">
        <v>26</v>
      </c>
      <c r="B11" s="1"/>
      <c r="C11" s="7" t="s">
        <v>27</v>
      </c>
      <c r="D11" s="1" t="s">
        <v>145</v>
      </c>
      <c r="E11" s="1" t="s">
        <v>146</v>
      </c>
      <c r="F11" s="1" t="s">
        <v>19</v>
      </c>
      <c r="G11" s="5">
        <v>46267</v>
      </c>
      <c r="H11" s="5">
        <v>46278</v>
      </c>
      <c r="I11" s="1" t="s">
        <v>147</v>
      </c>
      <c r="J11" s="5">
        <v>46265</v>
      </c>
      <c r="K11" s="5">
        <v>46278</v>
      </c>
      <c r="L11" s="1">
        <v>5</v>
      </c>
      <c r="M11" s="1" t="s">
        <v>151</v>
      </c>
    </row>
    <row r="12" spans="1:13" ht="36" customHeight="1">
      <c r="A12" s="1" t="s">
        <v>28</v>
      </c>
      <c r="B12" s="1"/>
      <c r="C12" s="7" t="s">
        <v>29</v>
      </c>
      <c r="D12" s="1" t="s">
        <v>145</v>
      </c>
      <c r="E12" s="1" t="s">
        <v>146</v>
      </c>
      <c r="F12" s="1" t="s">
        <v>19</v>
      </c>
      <c r="G12" s="5"/>
      <c r="H12" s="5">
        <v>46270</v>
      </c>
      <c r="I12" s="1" t="s">
        <v>147</v>
      </c>
      <c r="J12" s="5">
        <v>46265</v>
      </c>
      <c r="K12" s="5">
        <v>46278</v>
      </c>
      <c r="L12" s="1">
        <v>6</v>
      </c>
      <c r="M12" s="1" t="s">
        <v>152</v>
      </c>
    </row>
    <row r="13" spans="1:13" ht="36" customHeight="1">
      <c r="A13" s="1" t="s">
        <v>30</v>
      </c>
      <c r="B13" s="1"/>
      <c r="C13" s="7" t="s">
        <v>31</v>
      </c>
      <c r="D13" s="1" t="s">
        <v>145</v>
      </c>
      <c r="E13" s="1" t="s">
        <v>146</v>
      </c>
      <c r="F13" s="1" t="s">
        <v>19</v>
      </c>
      <c r="G13" s="5"/>
      <c r="H13" s="5">
        <v>46275</v>
      </c>
      <c r="I13" s="1" t="s">
        <v>147</v>
      </c>
      <c r="J13" s="5">
        <v>46265</v>
      </c>
      <c r="K13" s="5">
        <v>46278</v>
      </c>
      <c r="L13" s="1">
        <v>7</v>
      </c>
      <c r="M13" s="1" t="s">
        <v>153</v>
      </c>
    </row>
    <row r="14" spans="1:13" ht="36" customHeight="1">
      <c r="A14" s="1" t="s">
        <v>154</v>
      </c>
      <c r="B14" s="1" t="s">
        <v>17</v>
      </c>
      <c r="C14" s="7" t="s">
        <v>155</v>
      </c>
      <c r="D14" s="1" t="s">
        <v>156</v>
      </c>
      <c r="E14" s="1" t="s">
        <v>146</v>
      </c>
      <c r="F14" s="1" t="s">
        <v>19</v>
      </c>
      <c r="G14" s="5"/>
      <c r="H14" s="5"/>
      <c r="I14" s="1" t="s">
        <v>147</v>
      </c>
      <c r="J14" s="5">
        <v>46265</v>
      </c>
      <c r="K14" s="5">
        <v>46278</v>
      </c>
      <c r="L14" s="1">
        <v>87</v>
      </c>
      <c r="M14" s="1" t="s">
        <v>157</v>
      </c>
    </row>
    <row r="15" spans="1:13" ht="36" customHeight="1">
      <c r="A15" s="1" t="s">
        <v>158</v>
      </c>
      <c r="B15" s="1" t="s">
        <v>17</v>
      </c>
      <c r="C15" s="7" t="s">
        <v>159</v>
      </c>
      <c r="D15" s="1" t="s">
        <v>156</v>
      </c>
      <c r="E15" s="1" t="s">
        <v>146</v>
      </c>
      <c r="F15" s="1" t="s">
        <v>50</v>
      </c>
      <c r="G15" s="5"/>
      <c r="H15" s="5"/>
      <c r="I15" s="1" t="s">
        <v>147</v>
      </c>
      <c r="J15" s="5">
        <v>46265</v>
      </c>
      <c r="K15" s="5">
        <v>46278</v>
      </c>
      <c r="L15" s="1">
        <v>88</v>
      </c>
      <c r="M15" s="1" t="s">
        <v>160</v>
      </c>
    </row>
    <row r="16" spans="1:13" ht="36" customHeight="1">
      <c r="A16" s="1" t="s">
        <v>161</v>
      </c>
      <c r="B16" s="1" t="s">
        <v>17</v>
      </c>
      <c r="C16" s="7" t="s">
        <v>162</v>
      </c>
      <c r="D16" s="1" t="s">
        <v>156</v>
      </c>
      <c r="E16" s="1" t="s">
        <v>146</v>
      </c>
      <c r="F16" s="1" t="s">
        <v>37</v>
      </c>
      <c r="G16" s="5"/>
      <c r="H16" s="5"/>
      <c r="I16" s="1" t="s">
        <v>147</v>
      </c>
      <c r="J16" s="5">
        <v>46265</v>
      </c>
      <c r="K16" s="5">
        <v>46278</v>
      </c>
      <c r="L16" s="1">
        <v>89</v>
      </c>
      <c r="M16" s="1" t="s">
        <v>163</v>
      </c>
    </row>
    <row r="17" spans="1:13" ht="36" customHeight="1">
      <c r="A17" s="1" t="s">
        <v>33</v>
      </c>
      <c r="B17" s="1"/>
      <c r="C17" s="7" t="s">
        <v>34</v>
      </c>
      <c r="D17" s="1" t="s">
        <v>145</v>
      </c>
      <c r="E17" s="1" t="s">
        <v>146</v>
      </c>
      <c r="F17" s="1" t="s">
        <v>19</v>
      </c>
      <c r="G17" s="5"/>
      <c r="H17" s="5">
        <v>46287</v>
      </c>
      <c r="I17" s="1" t="s">
        <v>164</v>
      </c>
      <c r="J17" s="5">
        <v>46273</v>
      </c>
      <c r="K17" s="5">
        <v>46301</v>
      </c>
      <c r="L17" s="1">
        <v>8</v>
      </c>
      <c r="M17" s="1" t="s">
        <v>165</v>
      </c>
    </row>
    <row r="18" spans="1:13" ht="36" customHeight="1">
      <c r="A18" s="1" t="s">
        <v>35</v>
      </c>
      <c r="B18" s="1"/>
      <c r="C18" s="7" t="s">
        <v>36</v>
      </c>
      <c r="D18" s="1" t="s">
        <v>145</v>
      </c>
      <c r="E18" s="1" t="s">
        <v>146</v>
      </c>
      <c r="F18" s="1" t="s">
        <v>37</v>
      </c>
      <c r="G18" s="5"/>
      <c r="H18" s="5">
        <v>46287</v>
      </c>
      <c r="I18" s="1" t="s">
        <v>164</v>
      </c>
      <c r="J18" s="5">
        <v>46273</v>
      </c>
      <c r="K18" s="5">
        <v>46301</v>
      </c>
      <c r="L18" s="1">
        <v>9</v>
      </c>
      <c r="M18" s="1" t="s">
        <v>166</v>
      </c>
    </row>
    <row r="19" spans="1:13" ht="36" customHeight="1">
      <c r="A19" s="1" t="s">
        <v>38</v>
      </c>
      <c r="B19" s="1"/>
      <c r="C19" s="7" t="s">
        <v>39</v>
      </c>
      <c r="D19" s="1" t="s">
        <v>145</v>
      </c>
      <c r="E19" s="1" t="s">
        <v>146</v>
      </c>
      <c r="F19" s="1" t="s">
        <v>37</v>
      </c>
      <c r="G19" s="5"/>
      <c r="H19" s="5">
        <v>46291</v>
      </c>
      <c r="I19" s="1" t="s">
        <v>164</v>
      </c>
      <c r="J19" s="5">
        <v>46273</v>
      </c>
      <c r="K19" s="5">
        <v>46301</v>
      </c>
      <c r="L19" s="1">
        <v>27</v>
      </c>
      <c r="M19" s="1" t="s">
        <v>167</v>
      </c>
    </row>
    <row r="20" spans="1:13" ht="36" customHeight="1">
      <c r="A20" s="1" t="s">
        <v>40</v>
      </c>
      <c r="B20" s="1"/>
      <c r="C20" s="7" t="s">
        <v>41</v>
      </c>
      <c r="D20" s="1" t="s">
        <v>145</v>
      </c>
      <c r="E20" s="1" t="s">
        <v>146</v>
      </c>
      <c r="F20" s="1" t="s">
        <v>37</v>
      </c>
      <c r="G20" s="5"/>
      <c r="H20" s="5">
        <v>46291</v>
      </c>
      <c r="I20" s="1" t="s">
        <v>164</v>
      </c>
      <c r="J20" s="5">
        <v>46273</v>
      </c>
      <c r="K20" s="5">
        <v>46301</v>
      </c>
      <c r="L20" s="1">
        <v>28</v>
      </c>
      <c r="M20" s="1" t="s">
        <v>168</v>
      </c>
    </row>
    <row r="21" spans="1:13" ht="36" customHeight="1">
      <c r="A21" s="1" t="s">
        <v>42</v>
      </c>
      <c r="B21" s="1"/>
      <c r="C21" s="7" t="s">
        <v>43</v>
      </c>
      <c r="D21" s="1" t="s">
        <v>145</v>
      </c>
      <c r="E21" s="1" t="s">
        <v>146</v>
      </c>
      <c r="F21" s="1" t="s">
        <v>37</v>
      </c>
      <c r="G21" s="5"/>
      <c r="H21" s="5">
        <v>46295</v>
      </c>
      <c r="I21" s="1" t="s">
        <v>164</v>
      </c>
      <c r="J21" s="5">
        <v>46273</v>
      </c>
      <c r="K21" s="5">
        <v>46301</v>
      </c>
      <c r="L21" s="1">
        <v>29</v>
      </c>
      <c r="M21" s="1" t="s">
        <v>169</v>
      </c>
    </row>
    <row r="22" spans="1:13" ht="36" customHeight="1">
      <c r="A22" s="1" t="s">
        <v>44</v>
      </c>
      <c r="B22" s="1"/>
      <c r="C22" s="7" t="s">
        <v>45</v>
      </c>
      <c r="D22" s="1" t="s">
        <v>145</v>
      </c>
      <c r="E22" s="1" t="s">
        <v>146</v>
      </c>
      <c r="F22" s="1" t="s">
        <v>19</v>
      </c>
      <c r="G22" s="5"/>
      <c r="H22" s="5">
        <v>46293</v>
      </c>
      <c r="I22" s="1" t="s">
        <v>164</v>
      </c>
      <c r="J22" s="5">
        <v>46273</v>
      </c>
      <c r="K22" s="5">
        <v>46301</v>
      </c>
      <c r="L22" s="1">
        <v>31</v>
      </c>
      <c r="M22" s="1" t="s">
        <v>170</v>
      </c>
    </row>
    <row r="23" spans="1:13" ht="36" customHeight="1">
      <c r="A23" s="1" t="s">
        <v>46</v>
      </c>
      <c r="B23" s="1"/>
      <c r="C23" s="7" t="s">
        <v>47</v>
      </c>
      <c r="D23" s="1" t="s">
        <v>145</v>
      </c>
      <c r="E23" s="1" t="s">
        <v>146</v>
      </c>
      <c r="F23" s="1" t="s">
        <v>19</v>
      </c>
      <c r="G23" s="5"/>
      <c r="H23" s="5">
        <v>46299</v>
      </c>
      <c r="I23" s="1" t="s">
        <v>164</v>
      </c>
      <c r="J23" s="5">
        <v>46273</v>
      </c>
      <c r="K23" s="5">
        <v>46301</v>
      </c>
      <c r="L23" s="1">
        <v>90</v>
      </c>
      <c r="M23" s="1" t="s">
        <v>171</v>
      </c>
    </row>
    <row r="24" spans="1:13" ht="36" customHeight="1">
      <c r="A24" s="1" t="s">
        <v>61</v>
      </c>
      <c r="B24" s="1"/>
      <c r="C24" s="7" t="s">
        <v>62</v>
      </c>
      <c r="D24" s="1" t="s">
        <v>145</v>
      </c>
      <c r="E24" s="1" t="s">
        <v>172</v>
      </c>
      <c r="F24" s="1" t="s">
        <v>37</v>
      </c>
      <c r="G24" s="5">
        <v>46307</v>
      </c>
      <c r="H24" s="5">
        <v>46318</v>
      </c>
      <c r="I24" s="1" t="s">
        <v>173</v>
      </c>
      <c r="J24" s="5">
        <v>46296</v>
      </c>
      <c r="K24" s="5">
        <v>46320</v>
      </c>
      <c r="L24" s="1">
        <v>91</v>
      </c>
      <c r="M24" s="1" t="s">
        <v>174</v>
      </c>
    </row>
    <row r="25" spans="1:13" ht="36" customHeight="1">
      <c r="A25" s="1" t="s">
        <v>63</v>
      </c>
      <c r="B25" s="1"/>
      <c r="C25" s="7" t="s">
        <v>64</v>
      </c>
      <c r="D25" s="1" t="s">
        <v>145</v>
      </c>
      <c r="E25" s="1" t="s">
        <v>146</v>
      </c>
      <c r="F25" s="1" t="s">
        <v>19</v>
      </c>
      <c r="G25" s="5">
        <v>46307</v>
      </c>
      <c r="H25" s="5">
        <v>46318</v>
      </c>
      <c r="I25" s="1" t="s">
        <v>173</v>
      </c>
      <c r="J25" s="5">
        <v>46296</v>
      </c>
      <c r="K25" s="5">
        <v>46320</v>
      </c>
      <c r="L25" s="1">
        <v>92</v>
      </c>
      <c r="M25" s="1" t="s">
        <v>175</v>
      </c>
    </row>
    <row r="26" spans="1:13" ht="36" customHeight="1">
      <c r="A26" s="1" t="s">
        <v>65</v>
      </c>
      <c r="B26" s="1"/>
      <c r="C26" s="7" t="s">
        <v>66</v>
      </c>
      <c r="D26" s="1" t="s">
        <v>145</v>
      </c>
      <c r="E26" s="1" t="s">
        <v>172</v>
      </c>
      <c r="F26" s="1" t="s">
        <v>50</v>
      </c>
      <c r="G26" s="5">
        <v>46307</v>
      </c>
      <c r="H26" s="5">
        <v>46318</v>
      </c>
      <c r="I26" s="1" t="s">
        <v>173</v>
      </c>
      <c r="J26" s="5">
        <v>46296</v>
      </c>
      <c r="K26" s="5">
        <v>46320</v>
      </c>
      <c r="L26" s="1">
        <v>93</v>
      </c>
      <c r="M26" s="1" t="s">
        <v>176</v>
      </c>
    </row>
    <row r="27" spans="1:13" ht="36" customHeight="1">
      <c r="A27" s="1" t="s">
        <v>67</v>
      </c>
      <c r="B27" s="1"/>
      <c r="C27" s="7" t="s">
        <v>68</v>
      </c>
      <c r="D27" s="1" t="s">
        <v>145</v>
      </c>
      <c r="E27" s="1" t="s">
        <v>146</v>
      </c>
      <c r="F27" s="1" t="s">
        <v>37</v>
      </c>
      <c r="G27" s="5">
        <v>46307</v>
      </c>
      <c r="H27" s="5">
        <v>46318</v>
      </c>
      <c r="I27" s="1" t="s">
        <v>173</v>
      </c>
      <c r="J27" s="5">
        <v>46296</v>
      </c>
      <c r="K27" s="5">
        <v>46320</v>
      </c>
      <c r="L27" s="1">
        <v>94</v>
      </c>
      <c r="M27" s="1" t="s">
        <v>177</v>
      </c>
    </row>
    <row r="28" spans="1:13" ht="36" customHeight="1">
      <c r="A28" s="1" t="s">
        <v>69</v>
      </c>
      <c r="B28" s="1"/>
      <c r="C28" s="7" t="s">
        <v>70</v>
      </c>
      <c r="D28" s="1" t="s">
        <v>145</v>
      </c>
      <c r="E28" s="1" t="s">
        <v>146</v>
      </c>
      <c r="F28" s="1" t="s">
        <v>19</v>
      </c>
      <c r="G28" s="5">
        <v>46300</v>
      </c>
      <c r="H28" s="5">
        <v>46308</v>
      </c>
      <c r="I28" s="1" t="s">
        <v>173</v>
      </c>
      <c r="J28" s="5">
        <v>46296</v>
      </c>
      <c r="K28" s="5">
        <v>46320</v>
      </c>
      <c r="L28" s="1">
        <v>83</v>
      </c>
      <c r="M28" s="1" t="s">
        <v>178</v>
      </c>
    </row>
    <row r="29" spans="1:13" ht="36" customHeight="1">
      <c r="A29" s="1" t="s">
        <v>71</v>
      </c>
      <c r="B29" s="1"/>
      <c r="C29" s="7" t="s">
        <v>72</v>
      </c>
      <c r="D29" s="1" t="s">
        <v>145</v>
      </c>
      <c r="E29" s="1" t="s">
        <v>179</v>
      </c>
      <c r="F29" s="1" t="s">
        <v>50</v>
      </c>
      <c r="G29" s="5">
        <v>46318</v>
      </c>
      <c r="H29" s="5">
        <v>46320</v>
      </c>
      <c r="I29" s="1" t="s">
        <v>173</v>
      </c>
      <c r="J29" s="5">
        <v>46296</v>
      </c>
      <c r="K29" s="5">
        <v>46320</v>
      </c>
      <c r="L29" s="1">
        <v>32</v>
      </c>
      <c r="M29" s="1" t="s">
        <v>180</v>
      </c>
    </row>
    <row r="30" spans="1:13" ht="36" customHeight="1">
      <c r="A30" s="1" t="s">
        <v>73</v>
      </c>
      <c r="B30" s="1"/>
      <c r="C30" s="7" t="s">
        <v>74</v>
      </c>
      <c r="D30" s="1" t="s">
        <v>145</v>
      </c>
      <c r="E30" s="1" t="s">
        <v>146</v>
      </c>
      <c r="F30" s="1" t="s">
        <v>19</v>
      </c>
      <c r="G30" s="5">
        <v>46302</v>
      </c>
      <c r="H30" s="5">
        <v>46308</v>
      </c>
      <c r="I30" s="1" t="s">
        <v>173</v>
      </c>
      <c r="J30" s="5">
        <v>46296</v>
      </c>
      <c r="K30" s="5">
        <v>46320</v>
      </c>
      <c r="L30" s="1">
        <v>95</v>
      </c>
      <c r="M30" s="1" t="s">
        <v>181</v>
      </c>
    </row>
    <row r="31" spans="1:13" ht="36" customHeight="1">
      <c r="A31" s="1" t="s">
        <v>86</v>
      </c>
      <c r="B31" s="1"/>
      <c r="C31" s="7" t="s">
        <v>87</v>
      </c>
      <c r="D31" s="1" t="s">
        <v>145</v>
      </c>
      <c r="E31" s="1" t="s">
        <v>179</v>
      </c>
      <c r="F31" s="1" t="s">
        <v>19</v>
      </c>
      <c r="G31" s="5"/>
      <c r="H31" s="5"/>
      <c r="I31" s="1" t="s">
        <v>182</v>
      </c>
      <c r="J31" s="5">
        <v>46321</v>
      </c>
      <c r="K31" s="5">
        <v>46341</v>
      </c>
      <c r="L31" s="1">
        <v>96</v>
      </c>
      <c r="M31" s="1" t="s">
        <v>183</v>
      </c>
    </row>
    <row r="32" spans="1:13" ht="36" customHeight="1">
      <c r="A32" s="1" t="s">
        <v>88</v>
      </c>
      <c r="B32" s="1"/>
      <c r="C32" s="7" t="s">
        <v>89</v>
      </c>
      <c r="D32" s="1" t="s">
        <v>145</v>
      </c>
      <c r="E32" s="1" t="s">
        <v>179</v>
      </c>
      <c r="F32" s="1" t="s">
        <v>19</v>
      </c>
      <c r="G32" s="5"/>
      <c r="H32" s="5"/>
      <c r="I32" s="1" t="s">
        <v>182</v>
      </c>
      <c r="J32" s="5">
        <v>46321</v>
      </c>
      <c r="K32" s="5">
        <v>46341</v>
      </c>
      <c r="L32" s="1">
        <v>97</v>
      </c>
      <c r="M32" s="1" t="s">
        <v>184</v>
      </c>
    </row>
    <row r="33" spans="1:13" ht="36" customHeight="1">
      <c r="A33" s="1" t="s">
        <v>90</v>
      </c>
      <c r="B33" s="1"/>
      <c r="C33" s="7" t="s">
        <v>91</v>
      </c>
      <c r="D33" s="1" t="s">
        <v>145</v>
      </c>
      <c r="E33" s="1" t="s">
        <v>179</v>
      </c>
      <c r="F33" s="1" t="s">
        <v>50</v>
      </c>
      <c r="G33" s="5"/>
      <c r="H33" s="5"/>
      <c r="I33" s="1" t="s">
        <v>182</v>
      </c>
      <c r="J33" s="5">
        <v>46321</v>
      </c>
      <c r="K33" s="5">
        <v>46341</v>
      </c>
      <c r="L33" s="1">
        <v>98</v>
      </c>
      <c r="M33" s="1" t="s">
        <v>185</v>
      </c>
    </row>
    <row r="34" spans="1:13" ht="36" customHeight="1">
      <c r="A34" s="1" t="s">
        <v>92</v>
      </c>
      <c r="B34" s="1"/>
      <c r="C34" s="7" t="s">
        <v>93</v>
      </c>
      <c r="D34" s="1" t="s">
        <v>145</v>
      </c>
      <c r="E34" s="1" t="s">
        <v>179</v>
      </c>
      <c r="F34" s="1" t="s">
        <v>50</v>
      </c>
      <c r="G34" s="5"/>
      <c r="H34" s="5"/>
      <c r="I34" s="1" t="s">
        <v>182</v>
      </c>
      <c r="J34" s="5">
        <v>46321</v>
      </c>
      <c r="K34" s="5">
        <v>46341</v>
      </c>
      <c r="L34" s="1">
        <v>99</v>
      </c>
      <c r="M34" s="1" t="s">
        <v>186</v>
      </c>
    </row>
    <row r="35" spans="1:13" ht="36" customHeight="1">
      <c r="A35" s="1" t="s">
        <v>94</v>
      </c>
      <c r="B35" s="1"/>
      <c r="C35" s="7" t="s">
        <v>95</v>
      </c>
      <c r="D35" s="1" t="s">
        <v>145</v>
      </c>
      <c r="E35" s="1" t="s">
        <v>179</v>
      </c>
      <c r="F35" s="1" t="s">
        <v>50</v>
      </c>
      <c r="G35" s="5"/>
      <c r="H35" s="5"/>
      <c r="I35" s="1" t="s">
        <v>182</v>
      </c>
      <c r="J35" s="5">
        <v>46321</v>
      </c>
      <c r="K35" s="5">
        <v>46341</v>
      </c>
      <c r="L35" s="1">
        <v>100</v>
      </c>
      <c r="M35" s="1" t="s">
        <v>187</v>
      </c>
    </row>
    <row r="36" spans="1:13" ht="36" customHeight="1">
      <c r="A36" s="1" t="s">
        <v>96</v>
      </c>
      <c r="B36" s="1"/>
      <c r="C36" s="7" t="s">
        <v>97</v>
      </c>
      <c r="D36" s="1" t="s">
        <v>145</v>
      </c>
      <c r="E36" s="1" t="s">
        <v>179</v>
      </c>
      <c r="F36" s="1" t="s">
        <v>50</v>
      </c>
      <c r="G36" s="5"/>
      <c r="H36" s="5"/>
      <c r="I36" s="1" t="s">
        <v>182</v>
      </c>
      <c r="J36" s="5">
        <v>46321</v>
      </c>
      <c r="K36" s="5">
        <v>46341</v>
      </c>
      <c r="L36" s="1">
        <v>101</v>
      </c>
      <c r="M36" s="1" t="s">
        <v>188</v>
      </c>
    </row>
    <row r="37" spans="1:13" ht="36" customHeight="1">
      <c r="A37" s="1" t="s">
        <v>98</v>
      </c>
      <c r="B37" s="1"/>
      <c r="C37" s="7" t="s">
        <v>99</v>
      </c>
      <c r="D37" s="1" t="s">
        <v>145</v>
      </c>
      <c r="E37" s="1" t="s">
        <v>179</v>
      </c>
      <c r="F37" s="1" t="s">
        <v>37</v>
      </c>
      <c r="G37" s="5"/>
      <c r="H37" s="5"/>
      <c r="I37" s="1" t="s">
        <v>182</v>
      </c>
      <c r="J37" s="5">
        <v>46321</v>
      </c>
      <c r="K37" s="5">
        <v>46341</v>
      </c>
      <c r="L37" s="1">
        <v>102</v>
      </c>
      <c r="M37" s="1" t="s">
        <v>189</v>
      </c>
    </row>
    <row r="38" spans="1:13" ht="36" customHeight="1">
      <c r="A38" s="1" t="s">
        <v>100</v>
      </c>
      <c r="B38" s="1"/>
      <c r="C38" s="7" t="s">
        <v>101</v>
      </c>
      <c r="D38" s="1" t="s">
        <v>145</v>
      </c>
      <c r="E38" s="1" t="s">
        <v>179</v>
      </c>
      <c r="F38" s="1" t="s">
        <v>19</v>
      </c>
      <c r="G38" s="5"/>
      <c r="H38" s="5"/>
      <c r="I38" s="1" t="s">
        <v>182</v>
      </c>
      <c r="J38" s="5">
        <v>46321</v>
      </c>
      <c r="K38" s="5">
        <v>46341</v>
      </c>
      <c r="L38" s="1">
        <v>103</v>
      </c>
      <c r="M38" s="1" t="s">
        <v>190</v>
      </c>
    </row>
    <row r="39" spans="1:13" ht="36" customHeight="1">
      <c r="A39" s="1" t="s">
        <v>102</v>
      </c>
      <c r="B39" s="1"/>
      <c r="C39" s="7" t="s">
        <v>72</v>
      </c>
      <c r="D39" s="1" t="s">
        <v>145</v>
      </c>
      <c r="E39" s="1" t="s">
        <v>179</v>
      </c>
      <c r="F39" s="1" t="s">
        <v>50</v>
      </c>
      <c r="G39" s="5"/>
      <c r="H39" s="5"/>
      <c r="I39" s="1" t="s">
        <v>182</v>
      </c>
      <c r="J39" s="5">
        <v>46321</v>
      </c>
      <c r="K39" s="5">
        <v>46341</v>
      </c>
      <c r="L39" s="1">
        <v>104</v>
      </c>
      <c r="M39" s="1" t="s">
        <v>191</v>
      </c>
    </row>
    <row r="40" spans="1:13" ht="36" customHeight="1">
      <c r="A40" s="1" t="s">
        <v>103</v>
      </c>
      <c r="B40" s="1"/>
      <c r="C40" s="7" t="s">
        <v>104</v>
      </c>
      <c r="D40" s="1" t="s">
        <v>145</v>
      </c>
      <c r="E40" s="1" t="s">
        <v>179</v>
      </c>
      <c r="F40" s="1" t="s">
        <v>19</v>
      </c>
      <c r="G40" s="5"/>
      <c r="H40" s="5"/>
      <c r="I40" s="1" t="s">
        <v>182</v>
      </c>
      <c r="J40" s="5">
        <v>46321</v>
      </c>
      <c r="K40" s="5">
        <v>46341</v>
      </c>
      <c r="L40" s="1">
        <v>105</v>
      </c>
      <c r="M40" s="1" t="s">
        <v>192</v>
      </c>
    </row>
    <row r="41" spans="1:13" ht="36" customHeight="1">
      <c r="A41" s="1" t="s">
        <v>106</v>
      </c>
      <c r="B41" s="1"/>
      <c r="C41" s="7" t="s">
        <v>107</v>
      </c>
      <c r="D41" s="1" t="s">
        <v>145</v>
      </c>
      <c r="E41" s="1" t="s">
        <v>179</v>
      </c>
      <c r="F41" s="1" t="s">
        <v>19</v>
      </c>
      <c r="G41" s="5"/>
      <c r="H41" s="5"/>
      <c r="I41" s="1" t="s">
        <v>193</v>
      </c>
      <c r="J41" s="5">
        <v>46342</v>
      </c>
      <c r="K41" s="5">
        <v>46362</v>
      </c>
      <c r="L41" s="1">
        <v>106</v>
      </c>
      <c r="M41" s="1" t="s">
        <v>194</v>
      </c>
    </row>
    <row r="42" spans="1:13" ht="36" customHeight="1">
      <c r="A42" s="1" t="s">
        <v>108</v>
      </c>
      <c r="B42" s="1"/>
      <c r="C42" s="7" t="s">
        <v>109</v>
      </c>
      <c r="D42" s="1" t="s">
        <v>145</v>
      </c>
      <c r="E42" s="1" t="s">
        <v>179</v>
      </c>
      <c r="F42" s="1" t="s">
        <v>50</v>
      </c>
      <c r="G42" s="5"/>
      <c r="H42" s="5"/>
      <c r="I42" s="1" t="s">
        <v>193</v>
      </c>
      <c r="J42" s="5">
        <v>46342</v>
      </c>
      <c r="K42" s="5">
        <v>46362</v>
      </c>
      <c r="L42" s="1">
        <v>107</v>
      </c>
      <c r="M42" s="1" t="s">
        <v>195</v>
      </c>
    </row>
    <row r="43" spans="1:13" ht="36" customHeight="1">
      <c r="A43" s="1" t="s">
        <v>110</v>
      </c>
      <c r="B43" s="1"/>
      <c r="C43" s="7" t="s">
        <v>111</v>
      </c>
      <c r="D43" s="1" t="s">
        <v>145</v>
      </c>
      <c r="E43" s="1" t="s">
        <v>179</v>
      </c>
      <c r="F43" s="1" t="s">
        <v>50</v>
      </c>
      <c r="G43" s="5"/>
      <c r="H43" s="5"/>
      <c r="I43" s="1" t="s">
        <v>193</v>
      </c>
      <c r="J43" s="5">
        <v>46342</v>
      </c>
      <c r="K43" s="5">
        <v>46362</v>
      </c>
      <c r="L43" s="1">
        <v>108</v>
      </c>
      <c r="M43" s="1" t="s">
        <v>196</v>
      </c>
    </row>
    <row r="44" spans="1:13" ht="36" customHeight="1">
      <c r="A44" s="1" t="s">
        <v>112</v>
      </c>
      <c r="B44" s="1"/>
      <c r="C44" s="7" t="s">
        <v>113</v>
      </c>
      <c r="D44" s="1" t="s">
        <v>145</v>
      </c>
      <c r="E44" s="1" t="s">
        <v>179</v>
      </c>
      <c r="F44" s="1" t="s">
        <v>37</v>
      </c>
      <c r="G44" s="5"/>
      <c r="H44" s="5"/>
      <c r="I44" s="1" t="s">
        <v>193</v>
      </c>
      <c r="J44" s="5">
        <v>46342</v>
      </c>
      <c r="K44" s="5">
        <v>46362</v>
      </c>
      <c r="L44" s="1">
        <v>109</v>
      </c>
      <c r="M44" s="1" t="s">
        <v>197</v>
      </c>
    </row>
    <row r="45" spans="1:13" ht="36" customHeight="1">
      <c r="A45" s="1" t="s">
        <v>114</v>
      </c>
      <c r="B45" s="1"/>
      <c r="C45" s="7" t="s">
        <v>115</v>
      </c>
      <c r="D45" s="1" t="s">
        <v>145</v>
      </c>
      <c r="E45" s="1" t="s">
        <v>179</v>
      </c>
      <c r="F45" s="1" t="s">
        <v>37</v>
      </c>
      <c r="G45" s="5"/>
      <c r="H45" s="5"/>
      <c r="I45" s="1" t="s">
        <v>193</v>
      </c>
      <c r="J45" s="5">
        <v>46342</v>
      </c>
      <c r="K45" s="5">
        <v>46362</v>
      </c>
      <c r="L45" s="1">
        <v>110</v>
      </c>
      <c r="M45" s="1" t="s">
        <v>198</v>
      </c>
    </row>
    <row r="46" spans="1:13" ht="36" customHeight="1">
      <c r="A46" s="1" t="s">
        <v>116</v>
      </c>
      <c r="B46" s="1"/>
      <c r="C46" s="7" t="s">
        <v>72</v>
      </c>
      <c r="D46" s="1" t="s">
        <v>145</v>
      </c>
      <c r="E46" s="1" t="s">
        <v>179</v>
      </c>
      <c r="F46" s="1" t="s">
        <v>50</v>
      </c>
      <c r="G46" s="5"/>
      <c r="H46" s="5"/>
      <c r="I46" s="1" t="s">
        <v>193</v>
      </c>
      <c r="J46" s="5">
        <v>46342</v>
      </c>
      <c r="K46" s="5">
        <v>46362</v>
      </c>
      <c r="L46" s="1">
        <v>111</v>
      </c>
      <c r="M46" s="1" t="s">
        <v>199</v>
      </c>
    </row>
    <row r="47" spans="1:13" ht="36" customHeight="1">
      <c r="A47" s="1" t="s">
        <v>117</v>
      </c>
      <c r="B47" s="1"/>
      <c r="C47" s="7" t="s">
        <v>118</v>
      </c>
      <c r="D47" s="1" t="s">
        <v>145</v>
      </c>
      <c r="E47" s="1" t="s">
        <v>179</v>
      </c>
      <c r="F47" s="1" t="s">
        <v>19</v>
      </c>
      <c r="G47" s="5"/>
      <c r="H47" s="5"/>
      <c r="I47" s="1" t="s">
        <v>193</v>
      </c>
      <c r="J47" s="5">
        <v>46342</v>
      </c>
      <c r="K47" s="5">
        <v>46362</v>
      </c>
      <c r="L47" s="1">
        <v>112</v>
      </c>
      <c r="M47" s="1" t="s">
        <v>200</v>
      </c>
    </row>
    <row r="48" spans="1:13" ht="36" customHeight="1">
      <c r="A48" s="1" t="s">
        <v>119</v>
      </c>
      <c r="B48" s="1"/>
      <c r="C48" s="7" t="s">
        <v>120</v>
      </c>
      <c r="D48" s="1" t="s">
        <v>145</v>
      </c>
      <c r="E48" s="1" t="s">
        <v>179</v>
      </c>
      <c r="F48" s="1" t="s">
        <v>19</v>
      </c>
      <c r="G48" s="5"/>
      <c r="H48" s="5"/>
      <c r="I48" s="1" t="s">
        <v>193</v>
      </c>
      <c r="J48" s="5">
        <v>46342</v>
      </c>
      <c r="K48" s="5">
        <v>46362</v>
      </c>
      <c r="L48" s="1">
        <v>113</v>
      </c>
      <c r="M48" s="1" t="s">
        <v>201</v>
      </c>
    </row>
    <row r="49" spans="1:13" ht="36" customHeight="1">
      <c r="A49" s="1" t="s">
        <v>121</v>
      </c>
      <c r="B49" s="1"/>
      <c r="C49" s="7" t="s">
        <v>122</v>
      </c>
      <c r="D49" s="1" t="s">
        <v>145</v>
      </c>
      <c r="E49" s="1" t="s">
        <v>179</v>
      </c>
      <c r="F49" s="1" t="s">
        <v>19</v>
      </c>
      <c r="G49" s="5"/>
      <c r="H49" s="5"/>
      <c r="I49" s="1" t="s">
        <v>193</v>
      </c>
      <c r="J49" s="5">
        <v>46342</v>
      </c>
      <c r="K49" s="5">
        <v>46362</v>
      </c>
      <c r="L49" s="1">
        <v>114</v>
      </c>
      <c r="M49" s="1" t="s">
        <v>202</v>
      </c>
    </row>
    <row r="50" spans="1:13" ht="36" customHeight="1">
      <c r="A50" s="1" t="s">
        <v>203</v>
      </c>
      <c r="B50" s="1" t="s">
        <v>26</v>
      </c>
      <c r="C50" s="7" t="s">
        <v>204</v>
      </c>
      <c r="D50" s="1" t="s">
        <v>156</v>
      </c>
      <c r="E50" s="1" t="s">
        <v>146</v>
      </c>
      <c r="F50" s="1" t="s">
        <v>19</v>
      </c>
      <c r="G50" s="5"/>
      <c r="H50" s="5"/>
      <c r="I50" s="1" t="s">
        <v>147</v>
      </c>
      <c r="J50" s="5">
        <v>46265</v>
      </c>
      <c r="K50" s="5">
        <v>46278</v>
      </c>
      <c r="L50" s="1">
        <v>115</v>
      </c>
      <c r="M50" s="1" t="s">
        <v>205</v>
      </c>
    </row>
    <row r="51" spans="1:13" ht="36" customHeight="1">
      <c r="A51" s="1" t="s">
        <v>206</v>
      </c>
      <c r="B51" s="1" t="s">
        <v>26</v>
      </c>
      <c r="C51" s="7" t="s">
        <v>207</v>
      </c>
      <c r="D51" s="1" t="s">
        <v>156</v>
      </c>
      <c r="E51" s="1" t="s">
        <v>146</v>
      </c>
      <c r="F51" s="1" t="s">
        <v>19</v>
      </c>
      <c r="G51" s="5"/>
      <c r="H51" s="5"/>
      <c r="I51" s="1" t="s">
        <v>147</v>
      </c>
      <c r="J51" s="5">
        <v>46265</v>
      </c>
      <c r="K51" s="5">
        <v>46278</v>
      </c>
      <c r="L51" s="1">
        <v>116</v>
      </c>
      <c r="M51" s="1" t="s">
        <v>208</v>
      </c>
    </row>
    <row r="52" spans="1:13" ht="36" customHeight="1">
      <c r="A52" s="1" t="s">
        <v>209</v>
      </c>
      <c r="B52" s="1" t="s">
        <v>26</v>
      </c>
      <c r="C52" s="7" t="s">
        <v>210</v>
      </c>
      <c r="D52" s="1" t="s">
        <v>156</v>
      </c>
      <c r="E52" s="1" t="s">
        <v>146</v>
      </c>
      <c r="F52" s="1" t="s">
        <v>19</v>
      </c>
      <c r="G52" s="5"/>
      <c r="H52" s="5"/>
      <c r="I52" s="1" t="s">
        <v>147</v>
      </c>
      <c r="J52" s="5">
        <v>46265</v>
      </c>
      <c r="K52" s="5">
        <v>46278</v>
      </c>
      <c r="L52" s="1">
        <v>117</v>
      </c>
      <c r="M52" s="1" t="s">
        <v>211</v>
      </c>
    </row>
    <row r="53" spans="1:13" ht="36" customHeight="1">
      <c r="A53" s="1" t="s">
        <v>212</v>
      </c>
      <c r="B53" s="1" t="s">
        <v>26</v>
      </c>
      <c r="C53" s="7" t="s">
        <v>213</v>
      </c>
      <c r="D53" s="1" t="s">
        <v>156</v>
      </c>
      <c r="E53" s="1" t="s">
        <v>146</v>
      </c>
      <c r="F53" s="1" t="s">
        <v>19</v>
      </c>
      <c r="G53" s="5"/>
      <c r="H53" s="5"/>
      <c r="I53" s="1" t="s">
        <v>147</v>
      </c>
      <c r="J53" s="5">
        <v>46265</v>
      </c>
      <c r="K53" s="5">
        <v>46278</v>
      </c>
      <c r="L53" s="1">
        <v>118</v>
      </c>
      <c r="M53" s="1" t="s">
        <v>214</v>
      </c>
    </row>
    <row r="54" spans="1:13" ht="36" customHeight="1">
      <c r="A54" s="1" t="s">
        <v>215</v>
      </c>
      <c r="B54" s="1" t="s">
        <v>26</v>
      </c>
      <c r="C54" s="7" t="s">
        <v>216</v>
      </c>
      <c r="D54" s="1" t="s">
        <v>156</v>
      </c>
      <c r="E54" s="1" t="s">
        <v>146</v>
      </c>
      <c r="F54" s="1" t="s">
        <v>19</v>
      </c>
      <c r="G54" s="5"/>
      <c r="H54" s="5"/>
      <c r="I54" s="1" t="s">
        <v>147</v>
      </c>
      <c r="J54" s="5">
        <v>46265</v>
      </c>
      <c r="K54" s="5">
        <v>46278</v>
      </c>
      <c r="L54" s="1">
        <v>119</v>
      </c>
      <c r="M54" s="1" t="s">
        <v>217</v>
      </c>
    </row>
    <row r="55" spans="1:13" ht="36" customHeight="1">
      <c r="A55" s="1" t="s">
        <v>218</v>
      </c>
      <c r="B55" s="1" t="s">
        <v>26</v>
      </c>
      <c r="C55" s="7" t="s">
        <v>219</v>
      </c>
      <c r="D55" s="1" t="s">
        <v>156</v>
      </c>
      <c r="E55" s="1" t="s">
        <v>146</v>
      </c>
      <c r="F55" s="1" t="s">
        <v>19</v>
      </c>
      <c r="G55" s="5"/>
      <c r="H55" s="5"/>
      <c r="I55" s="1" t="s">
        <v>147</v>
      </c>
      <c r="J55" s="5">
        <v>46265</v>
      </c>
      <c r="K55" s="5">
        <v>46278</v>
      </c>
      <c r="L55" s="1">
        <v>120</v>
      </c>
      <c r="M55" s="1" t="s">
        <v>220</v>
      </c>
    </row>
    <row r="56" spans="1:13" ht="36" customHeight="1">
      <c r="A56" s="1" t="s">
        <v>221</v>
      </c>
      <c r="B56" s="1" t="s">
        <v>24</v>
      </c>
      <c r="C56" s="7" t="s">
        <v>222</v>
      </c>
      <c r="D56" s="1" t="s">
        <v>156</v>
      </c>
      <c r="E56" s="1" t="s">
        <v>146</v>
      </c>
      <c r="F56" s="1" t="s">
        <v>19</v>
      </c>
      <c r="G56" s="5"/>
      <c r="H56" s="5"/>
      <c r="I56" s="1" t="s">
        <v>147</v>
      </c>
      <c r="J56" s="5">
        <v>46265</v>
      </c>
      <c r="K56" s="5">
        <v>46278</v>
      </c>
      <c r="L56" s="1">
        <v>121</v>
      </c>
      <c r="M56" s="1" t="s">
        <v>223</v>
      </c>
    </row>
    <row r="57" spans="1:13" ht="36" customHeight="1">
      <c r="A57" s="1" t="s">
        <v>224</v>
      </c>
      <c r="B57" s="1" t="s">
        <v>24</v>
      </c>
      <c r="C57" s="7" t="s">
        <v>225</v>
      </c>
      <c r="D57" s="1" t="s">
        <v>156</v>
      </c>
      <c r="E57" s="1" t="s">
        <v>146</v>
      </c>
      <c r="F57" s="1" t="s">
        <v>19</v>
      </c>
      <c r="G57" s="5"/>
      <c r="H57" s="5"/>
      <c r="I57" s="1" t="s">
        <v>147</v>
      </c>
      <c r="J57" s="5">
        <v>46265</v>
      </c>
      <c r="K57" s="5">
        <v>46278</v>
      </c>
      <c r="L57" s="1">
        <v>122</v>
      </c>
      <c r="M57" s="1" t="s">
        <v>226</v>
      </c>
    </row>
    <row r="58" spans="1:13" ht="36" customHeight="1">
      <c r="A58" s="1" t="s">
        <v>227</v>
      </c>
      <c r="B58" s="1" t="s">
        <v>24</v>
      </c>
      <c r="C58" s="7" t="s">
        <v>228</v>
      </c>
      <c r="D58" s="1" t="s">
        <v>156</v>
      </c>
      <c r="E58" s="1" t="s">
        <v>146</v>
      </c>
      <c r="F58" s="1" t="s">
        <v>19</v>
      </c>
      <c r="G58" s="5"/>
      <c r="H58" s="5"/>
      <c r="I58" s="1" t="s">
        <v>147</v>
      </c>
      <c r="J58" s="5">
        <v>46265</v>
      </c>
      <c r="K58" s="5">
        <v>46278</v>
      </c>
      <c r="L58" s="1">
        <v>123</v>
      </c>
      <c r="M58" s="1" t="s">
        <v>229</v>
      </c>
    </row>
    <row r="59" spans="1:13" ht="36" customHeight="1">
      <c r="A59" s="1" t="s">
        <v>230</v>
      </c>
      <c r="B59" s="1" t="s">
        <v>75</v>
      </c>
      <c r="C59" s="7" t="s">
        <v>76</v>
      </c>
      <c r="D59" s="1" t="s">
        <v>156</v>
      </c>
      <c r="E59" s="1" t="s">
        <v>146</v>
      </c>
      <c r="F59" s="1" t="s">
        <v>19</v>
      </c>
      <c r="G59" s="5"/>
      <c r="H59" s="5"/>
      <c r="I59" s="1" t="s">
        <v>173</v>
      </c>
      <c r="J59" s="5">
        <v>46296</v>
      </c>
      <c r="K59" s="5">
        <v>46320</v>
      </c>
      <c r="L59" s="1">
        <v>124</v>
      </c>
      <c r="M59" s="1" t="s">
        <v>231</v>
      </c>
    </row>
    <row r="60" spans="1:13" ht="36" customHeight="1">
      <c r="A60" s="1" t="s">
        <v>232</v>
      </c>
      <c r="B60" s="1" t="s">
        <v>24</v>
      </c>
      <c r="C60" s="7" t="s">
        <v>233</v>
      </c>
      <c r="D60" s="1" t="s">
        <v>156</v>
      </c>
      <c r="E60" s="1" t="s">
        <v>146</v>
      </c>
      <c r="F60" s="1" t="s">
        <v>19</v>
      </c>
      <c r="G60" s="5"/>
      <c r="H60" s="5"/>
      <c r="I60" s="1" t="s">
        <v>147</v>
      </c>
      <c r="J60" s="5">
        <v>46265</v>
      </c>
      <c r="K60" s="5">
        <v>46278</v>
      </c>
      <c r="L60" s="1">
        <v>125</v>
      </c>
      <c r="M60" s="1" t="s">
        <v>234</v>
      </c>
    </row>
    <row r="61" spans="1:13" ht="36" customHeight="1">
      <c r="A61" s="1" t="s">
        <v>235</v>
      </c>
      <c r="B61" s="1" t="s">
        <v>24</v>
      </c>
      <c r="C61" s="7" t="s">
        <v>236</v>
      </c>
      <c r="D61" s="1" t="s">
        <v>156</v>
      </c>
      <c r="E61" s="1" t="s">
        <v>146</v>
      </c>
      <c r="F61" s="1" t="s">
        <v>19</v>
      </c>
      <c r="G61" s="5"/>
      <c r="H61" s="5"/>
      <c r="I61" s="1" t="s">
        <v>147</v>
      </c>
      <c r="J61" s="5">
        <v>46265</v>
      </c>
      <c r="K61" s="5">
        <v>46278</v>
      </c>
      <c r="L61" s="1">
        <v>126</v>
      </c>
      <c r="M61" s="1" t="s">
        <v>237</v>
      </c>
    </row>
    <row r="62" spans="1:13" ht="36" customHeight="1">
      <c r="A62" s="1" t="s">
        <v>238</v>
      </c>
      <c r="B62" s="1" t="s">
        <v>24</v>
      </c>
      <c r="C62" s="7" t="s">
        <v>239</v>
      </c>
      <c r="D62" s="1" t="s">
        <v>156</v>
      </c>
      <c r="E62" s="1" t="s">
        <v>146</v>
      </c>
      <c r="F62" s="1" t="s">
        <v>19</v>
      </c>
      <c r="G62" s="5"/>
      <c r="H62" s="5"/>
      <c r="I62" s="1" t="s">
        <v>147</v>
      </c>
      <c r="J62" s="5">
        <v>46265</v>
      </c>
      <c r="K62" s="5">
        <v>46278</v>
      </c>
      <c r="L62" s="1">
        <v>127</v>
      </c>
      <c r="M62" s="1" t="s">
        <v>240</v>
      </c>
    </row>
    <row r="63" spans="1:13" ht="36" customHeight="1">
      <c r="A63" s="1" t="s">
        <v>241</v>
      </c>
      <c r="B63" s="1" t="s">
        <v>30</v>
      </c>
      <c r="C63" s="7" t="s">
        <v>242</v>
      </c>
      <c r="D63" s="1" t="s">
        <v>156</v>
      </c>
      <c r="E63" s="1" t="s">
        <v>146</v>
      </c>
      <c r="F63" s="1" t="s">
        <v>19</v>
      </c>
      <c r="G63" s="5"/>
      <c r="H63" s="5"/>
      <c r="I63" s="1" t="s">
        <v>147</v>
      </c>
      <c r="J63" s="5">
        <v>46265</v>
      </c>
      <c r="K63" s="5">
        <v>46278</v>
      </c>
      <c r="L63" s="1">
        <v>128</v>
      </c>
      <c r="M63" s="1" t="s">
        <v>243</v>
      </c>
    </row>
    <row r="64" spans="1:13" ht="36" customHeight="1">
      <c r="A64" s="1" t="s">
        <v>244</v>
      </c>
      <c r="B64" s="1" t="s">
        <v>30</v>
      </c>
      <c r="C64" s="7" t="s">
        <v>245</v>
      </c>
      <c r="D64" s="1" t="s">
        <v>156</v>
      </c>
      <c r="E64" s="1" t="s">
        <v>146</v>
      </c>
      <c r="F64" s="1" t="s">
        <v>19</v>
      </c>
      <c r="G64" s="5"/>
      <c r="H64" s="5"/>
      <c r="I64" s="1" t="s">
        <v>147</v>
      </c>
      <c r="J64" s="5">
        <v>46265</v>
      </c>
      <c r="K64" s="5">
        <v>46278</v>
      </c>
      <c r="L64" s="1">
        <v>129</v>
      </c>
      <c r="M64" s="1" t="s">
        <v>246</v>
      </c>
    </row>
    <row r="65" spans="1:13" ht="36" customHeight="1">
      <c r="A65" s="1" t="s">
        <v>247</v>
      </c>
      <c r="B65" s="1" t="s">
        <v>30</v>
      </c>
      <c r="C65" s="7" t="s">
        <v>248</v>
      </c>
      <c r="D65" s="1" t="s">
        <v>156</v>
      </c>
      <c r="E65" s="1" t="s">
        <v>146</v>
      </c>
      <c r="F65" s="1" t="s">
        <v>19</v>
      </c>
      <c r="G65" s="5"/>
      <c r="H65" s="5"/>
      <c r="I65" s="1" t="s">
        <v>147</v>
      </c>
      <c r="J65" s="5">
        <v>46265</v>
      </c>
      <c r="K65" s="5">
        <v>46278</v>
      </c>
      <c r="L65" s="1">
        <v>130</v>
      </c>
      <c r="M65" s="1" t="s">
        <v>249</v>
      </c>
    </row>
    <row r="66" spans="1:13" ht="36" customHeight="1">
      <c r="A66" s="1" t="s">
        <v>250</v>
      </c>
      <c r="B66" s="1" t="s">
        <v>30</v>
      </c>
      <c r="C66" s="7" t="s">
        <v>251</v>
      </c>
      <c r="D66" s="1" t="s">
        <v>156</v>
      </c>
      <c r="E66" s="1" t="s">
        <v>146</v>
      </c>
      <c r="F66" s="1" t="s">
        <v>19</v>
      </c>
      <c r="G66" s="5"/>
      <c r="H66" s="5"/>
      <c r="I66" s="1" t="s">
        <v>147</v>
      </c>
      <c r="J66" s="5">
        <v>46265</v>
      </c>
      <c r="K66" s="5">
        <v>46278</v>
      </c>
      <c r="L66" s="1">
        <v>131</v>
      </c>
      <c r="M66" s="1" t="s">
        <v>252</v>
      </c>
    </row>
    <row r="67" spans="1:13" ht="36" customHeight="1">
      <c r="A67" s="1" t="s">
        <v>253</v>
      </c>
      <c r="B67" s="1" t="s">
        <v>30</v>
      </c>
      <c r="C67" s="7" t="s">
        <v>254</v>
      </c>
      <c r="D67" s="1" t="s">
        <v>156</v>
      </c>
      <c r="E67" s="1" t="s">
        <v>146</v>
      </c>
      <c r="F67" s="1" t="s">
        <v>19</v>
      </c>
      <c r="G67" s="5"/>
      <c r="H67" s="5"/>
      <c r="I67" s="1" t="s">
        <v>147</v>
      </c>
      <c r="J67" s="5">
        <v>46265</v>
      </c>
      <c r="K67" s="5">
        <v>46278</v>
      </c>
      <c r="L67" s="1">
        <v>132</v>
      </c>
      <c r="M67" s="1" t="s">
        <v>255</v>
      </c>
    </row>
    <row r="68" spans="1:13" ht="36" customHeight="1">
      <c r="A68" s="1" t="s">
        <v>256</v>
      </c>
      <c r="B68" s="1" t="s">
        <v>30</v>
      </c>
      <c r="C68" s="7" t="s">
        <v>257</v>
      </c>
      <c r="D68" s="1" t="s">
        <v>156</v>
      </c>
      <c r="E68" s="1" t="s">
        <v>146</v>
      </c>
      <c r="F68" s="1" t="s">
        <v>19</v>
      </c>
      <c r="G68" s="5"/>
      <c r="H68" s="5"/>
      <c r="I68" s="1" t="s">
        <v>147</v>
      </c>
      <c r="J68" s="5">
        <v>46265</v>
      </c>
      <c r="K68" s="5">
        <v>46278</v>
      </c>
      <c r="L68" s="1">
        <v>133</v>
      </c>
      <c r="M68" s="1" t="s">
        <v>258</v>
      </c>
    </row>
    <row r="69" spans="1:13" ht="36" customHeight="1">
      <c r="A69" s="1" t="s">
        <v>259</v>
      </c>
      <c r="B69" s="1" t="s">
        <v>21</v>
      </c>
      <c r="C69" s="7" t="s">
        <v>260</v>
      </c>
      <c r="D69" s="1" t="s">
        <v>156</v>
      </c>
      <c r="E69" s="1" t="s">
        <v>146</v>
      </c>
      <c r="F69" s="1" t="s">
        <v>19</v>
      </c>
      <c r="G69" s="5"/>
      <c r="H69" s="5"/>
      <c r="I69" s="1" t="s">
        <v>147</v>
      </c>
      <c r="J69" s="5">
        <v>46265</v>
      </c>
      <c r="K69" s="5">
        <v>46278</v>
      </c>
      <c r="L69" s="1">
        <v>134</v>
      </c>
      <c r="M69" s="1" t="s">
        <v>261</v>
      </c>
    </row>
    <row r="70" spans="1:13" ht="36" customHeight="1">
      <c r="A70" s="1" t="s">
        <v>262</v>
      </c>
      <c r="B70" s="1" t="s">
        <v>21</v>
      </c>
      <c r="C70" s="7" t="s">
        <v>263</v>
      </c>
      <c r="D70" s="1" t="s">
        <v>156</v>
      </c>
      <c r="E70" s="1" t="s">
        <v>146</v>
      </c>
      <c r="F70" s="1" t="s">
        <v>19</v>
      </c>
      <c r="G70" s="5"/>
      <c r="H70" s="5"/>
      <c r="I70" s="1" t="s">
        <v>147</v>
      </c>
      <c r="J70" s="5">
        <v>46265</v>
      </c>
      <c r="K70" s="5">
        <v>46278</v>
      </c>
      <c r="L70" s="1">
        <v>135</v>
      </c>
      <c r="M70" s="1" t="s">
        <v>264</v>
      </c>
    </row>
    <row r="71" spans="1:13" ht="36" customHeight="1">
      <c r="A71" s="1" t="s">
        <v>265</v>
      </c>
      <c r="B71" s="1" t="s">
        <v>21</v>
      </c>
      <c r="C71" s="7" t="s">
        <v>266</v>
      </c>
      <c r="D71" s="1" t="s">
        <v>156</v>
      </c>
      <c r="E71" s="1" t="s">
        <v>146</v>
      </c>
      <c r="F71" s="1" t="s">
        <v>19</v>
      </c>
      <c r="G71" s="5"/>
      <c r="H71" s="5"/>
      <c r="I71" s="1" t="s">
        <v>147</v>
      </c>
      <c r="J71" s="5">
        <v>46265</v>
      </c>
      <c r="K71" s="5">
        <v>46278</v>
      </c>
      <c r="L71" s="1">
        <v>136</v>
      </c>
      <c r="M71" s="1" t="s">
        <v>267</v>
      </c>
    </row>
    <row r="72" spans="1:13" ht="36" customHeight="1">
      <c r="A72" s="1" t="s">
        <v>268</v>
      </c>
      <c r="B72" s="1" t="s">
        <v>21</v>
      </c>
      <c r="C72" s="7" t="s">
        <v>269</v>
      </c>
      <c r="D72" s="1" t="s">
        <v>156</v>
      </c>
      <c r="E72" s="1" t="s">
        <v>146</v>
      </c>
      <c r="F72" s="1" t="s">
        <v>19</v>
      </c>
      <c r="G72" s="5"/>
      <c r="H72" s="5"/>
      <c r="I72" s="1" t="s">
        <v>147</v>
      </c>
      <c r="J72" s="5">
        <v>46265</v>
      </c>
      <c r="K72" s="5">
        <v>46278</v>
      </c>
      <c r="L72" s="1">
        <v>137</v>
      </c>
      <c r="M72" s="1" t="s">
        <v>270</v>
      </c>
    </row>
    <row r="73" spans="1:13" ht="36" customHeight="1">
      <c r="A73" s="1" t="s">
        <v>271</v>
      </c>
      <c r="B73" s="1" t="s">
        <v>28</v>
      </c>
      <c r="C73" s="7" t="s">
        <v>272</v>
      </c>
      <c r="D73" s="1" t="s">
        <v>156</v>
      </c>
      <c r="E73" s="1" t="s">
        <v>146</v>
      </c>
      <c r="F73" s="1" t="s">
        <v>19</v>
      </c>
      <c r="G73" s="5"/>
      <c r="H73" s="5"/>
      <c r="I73" s="1" t="s">
        <v>147</v>
      </c>
      <c r="J73" s="5">
        <v>46265</v>
      </c>
      <c r="K73" s="5">
        <v>46278</v>
      </c>
      <c r="L73" s="1">
        <v>138</v>
      </c>
      <c r="M73" s="1" t="s">
        <v>273</v>
      </c>
    </row>
    <row r="74" spans="1:13" ht="36" customHeight="1">
      <c r="A74" s="1" t="s">
        <v>274</v>
      </c>
      <c r="B74" s="1" t="s">
        <v>28</v>
      </c>
      <c r="C74" s="7" t="s">
        <v>275</v>
      </c>
      <c r="D74" s="1" t="s">
        <v>156</v>
      </c>
      <c r="E74" s="1" t="s">
        <v>146</v>
      </c>
      <c r="F74" s="1" t="s">
        <v>19</v>
      </c>
      <c r="G74" s="5"/>
      <c r="H74" s="5"/>
      <c r="I74" s="1" t="s">
        <v>147</v>
      </c>
      <c r="J74" s="5">
        <v>46265</v>
      </c>
      <c r="K74" s="5">
        <v>46278</v>
      </c>
      <c r="L74" s="1">
        <v>139</v>
      </c>
      <c r="M74" s="1" t="s">
        <v>276</v>
      </c>
    </row>
    <row r="75" spans="1:13" ht="36" customHeight="1">
      <c r="A75" s="1" t="s">
        <v>277</v>
      </c>
      <c r="B75" s="1" t="s">
        <v>28</v>
      </c>
      <c r="C75" s="7" t="s">
        <v>278</v>
      </c>
      <c r="D75" s="1" t="s">
        <v>156</v>
      </c>
      <c r="E75" s="1" t="s">
        <v>146</v>
      </c>
      <c r="F75" s="1" t="s">
        <v>19</v>
      </c>
      <c r="G75" s="5"/>
      <c r="H75" s="5"/>
      <c r="I75" s="1" t="s">
        <v>147</v>
      </c>
      <c r="J75" s="5">
        <v>46265</v>
      </c>
      <c r="K75" s="5">
        <v>46278</v>
      </c>
      <c r="L75" s="1">
        <v>140</v>
      </c>
      <c r="M75" s="1" t="s">
        <v>279</v>
      </c>
    </row>
    <row r="76" spans="1:13" ht="36" customHeight="1">
      <c r="A76" s="1" t="s">
        <v>280</v>
      </c>
      <c r="B76" s="1" t="s">
        <v>28</v>
      </c>
      <c r="C76" s="7" t="s">
        <v>281</v>
      </c>
      <c r="D76" s="1" t="s">
        <v>156</v>
      </c>
      <c r="E76" s="1" t="s">
        <v>146</v>
      </c>
      <c r="F76" s="1" t="s">
        <v>19</v>
      </c>
      <c r="G76" s="5"/>
      <c r="H76" s="5"/>
      <c r="I76" s="1" t="s">
        <v>147</v>
      </c>
      <c r="J76" s="5">
        <v>46265</v>
      </c>
      <c r="K76" s="5">
        <v>46278</v>
      </c>
      <c r="L76" s="1">
        <v>141</v>
      </c>
      <c r="M76" s="1" t="s">
        <v>282</v>
      </c>
    </row>
    <row r="77" spans="1:13" ht="36" customHeight="1">
      <c r="A77" s="1" t="s">
        <v>283</v>
      </c>
      <c r="B77" s="1" t="s">
        <v>28</v>
      </c>
      <c r="C77" s="7" t="s">
        <v>284</v>
      </c>
      <c r="D77" s="1" t="s">
        <v>156</v>
      </c>
      <c r="E77" s="1" t="s">
        <v>146</v>
      </c>
      <c r="F77" s="1" t="s">
        <v>19</v>
      </c>
      <c r="G77" s="5"/>
      <c r="H77" s="5"/>
      <c r="I77" s="1" t="s">
        <v>147</v>
      </c>
      <c r="J77" s="5">
        <v>46265</v>
      </c>
      <c r="K77" s="5">
        <v>46278</v>
      </c>
      <c r="L77" s="1">
        <v>142</v>
      </c>
      <c r="M77" s="1" t="s">
        <v>285</v>
      </c>
    </row>
    <row r="78" spans="1:13" ht="36" customHeight="1">
      <c r="A78" s="1" t="s">
        <v>75</v>
      </c>
      <c r="B78" s="1"/>
      <c r="C78" s="7" t="s">
        <v>76</v>
      </c>
      <c r="D78" s="1" t="s">
        <v>145</v>
      </c>
      <c r="E78" s="1" t="s">
        <v>146</v>
      </c>
      <c r="F78" s="1" t="s">
        <v>19</v>
      </c>
      <c r="G78" s="5">
        <v>46301</v>
      </c>
      <c r="H78" s="5">
        <v>46308</v>
      </c>
      <c r="I78" s="1" t="s">
        <v>173</v>
      </c>
      <c r="J78" s="5">
        <v>46296</v>
      </c>
      <c r="K78" s="5">
        <v>46320</v>
      </c>
      <c r="L78" s="1">
        <v>143</v>
      </c>
      <c r="M78" s="1" t="s">
        <v>286</v>
      </c>
    </row>
    <row r="79" spans="1:13" ht="36" customHeight="1">
      <c r="A79" s="1" t="s">
        <v>287</v>
      </c>
      <c r="B79" s="1" t="s">
        <v>33</v>
      </c>
      <c r="C79" s="7" t="s">
        <v>288</v>
      </c>
      <c r="D79" s="1" t="s">
        <v>156</v>
      </c>
      <c r="E79" s="1" t="s">
        <v>146</v>
      </c>
      <c r="F79" s="1" t="s">
        <v>19</v>
      </c>
      <c r="G79" s="5"/>
      <c r="H79" s="5"/>
      <c r="I79" s="1" t="s">
        <v>164</v>
      </c>
      <c r="J79" s="5">
        <v>46273</v>
      </c>
      <c r="K79" s="5">
        <v>46301</v>
      </c>
      <c r="L79" s="1">
        <v>10</v>
      </c>
      <c r="M79" s="1" t="s">
        <v>289</v>
      </c>
    </row>
    <row r="80" spans="1:13" ht="36" customHeight="1">
      <c r="A80" s="1" t="s">
        <v>290</v>
      </c>
      <c r="B80" s="1" t="s">
        <v>33</v>
      </c>
      <c r="C80" s="7" t="s">
        <v>291</v>
      </c>
      <c r="D80" s="1" t="s">
        <v>156</v>
      </c>
      <c r="E80" s="1" t="s">
        <v>146</v>
      </c>
      <c r="F80" s="1" t="s">
        <v>19</v>
      </c>
      <c r="G80" s="5"/>
      <c r="H80" s="5"/>
      <c r="I80" s="1" t="s">
        <v>164</v>
      </c>
      <c r="J80" s="5">
        <v>46273</v>
      </c>
      <c r="K80" s="5">
        <v>46301</v>
      </c>
      <c r="L80" s="1">
        <v>11</v>
      </c>
      <c r="M80" s="1" t="s">
        <v>292</v>
      </c>
    </row>
    <row r="81" spans="1:13" ht="36" customHeight="1">
      <c r="A81" s="1" t="s">
        <v>293</v>
      </c>
      <c r="B81" s="1" t="s">
        <v>33</v>
      </c>
      <c r="C81" s="7" t="s">
        <v>294</v>
      </c>
      <c r="D81" s="1" t="s">
        <v>156</v>
      </c>
      <c r="E81" s="1" t="s">
        <v>146</v>
      </c>
      <c r="F81" s="1" t="s">
        <v>19</v>
      </c>
      <c r="G81" s="5"/>
      <c r="H81" s="5"/>
      <c r="I81" s="1" t="s">
        <v>164</v>
      </c>
      <c r="J81" s="5">
        <v>46273</v>
      </c>
      <c r="K81" s="5">
        <v>46301</v>
      </c>
      <c r="L81" s="1">
        <v>12</v>
      </c>
      <c r="M81" s="1" t="s">
        <v>295</v>
      </c>
    </row>
    <row r="82" spans="1:13" ht="36" customHeight="1">
      <c r="A82" s="1" t="s">
        <v>296</v>
      </c>
      <c r="B82" s="1" t="s">
        <v>33</v>
      </c>
      <c r="C82" s="7" t="s">
        <v>297</v>
      </c>
      <c r="D82" s="1" t="s">
        <v>156</v>
      </c>
      <c r="E82" s="1" t="s">
        <v>146</v>
      </c>
      <c r="F82" s="1" t="s">
        <v>19</v>
      </c>
      <c r="G82" s="5"/>
      <c r="H82" s="5"/>
      <c r="I82" s="1" t="s">
        <v>164</v>
      </c>
      <c r="J82" s="5">
        <v>46273</v>
      </c>
      <c r="K82" s="5">
        <v>46301</v>
      </c>
      <c r="L82" s="1">
        <v>13</v>
      </c>
      <c r="M82" s="1" t="s">
        <v>298</v>
      </c>
    </row>
    <row r="83" spans="1:13" ht="36" customHeight="1">
      <c r="A83" s="1" t="s">
        <v>299</v>
      </c>
      <c r="B83" s="1" t="s">
        <v>33</v>
      </c>
      <c r="C83" s="7" t="s">
        <v>300</v>
      </c>
      <c r="D83" s="1" t="s">
        <v>156</v>
      </c>
      <c r="E83" s="1" t="s">
        <v>146</v>
      </c>
      <c r="F83" s="1" t="s">
        <v>19</v>
      </c>
      <c r="G83" s="5"/>
      <c r="H83" s="5"/>
      <c r="I83" s="1" t="s">
        <v>164</v>
      </c>
      <c r="J83" s="5">
        <v>46273</v>
      </c>
      <c r="K83" s="5">
        <v>46301</v>
      </c>
      <c r="L83" s="1">
        <v>14</v>
      </c>
      <c r="M83" s="1" t="s">
        <v>301</v>
      </c>
    </row>
    <row r="84" spans="1:13" ht="36" customHeight="1">
      <c r="A84" s="1" t="s">
        <v>302</v>
      </c>
      <c r="B84" s="1" t="s">
        <v>33</v>
      </c>
      <c r="C84" s="7" t="s">
        <v>303</v>
      </c>
      <c r="D84" s="1" t="s">
        <v>156</v>
      </c>
      <c r="E84" s="1" t="s">
        <v>146</v>
      </c>
      <c r="F84" s="1" t="s">
        <v>19</v>
      </c>
      <c r="G84" s="5"/>
      <c r="H84" s="5"/>
      <c r="I84" s="1" t="s">
        <v>164</v>
      </c>
      <c r="J84" s="5">
        <v>46273</v>
      </c>
      <c r="K84" s="5">
        <v>46301</v>
      </c>
      <c r="L84" s="1">
        <v>15</v>
      </c>
      <c r="M84" s="1" t="s">
        <v>304</v>
      </c>
    </row>
    <row r="85" spans="1:13" ht="36" customHeight="1">
      <c r="A85" s="1" t="s">
        <v>305</v>
      </c>
      <c r="B85" s="1" t="s">
        <v>33</v>
      </c>
      <c r="C85" s="7" t="s">
        <v>306</v>
      </c>
      <c r="D85" s="1" t="s">
        <v>156</v>
      </c>
      <c r="E85" s="1" t="s">
        <v>146</v>
      </c>
      <c r="F85" s="1" t="s">
        <v>19</v>
      </c>
      <c r="G85" s="5"/>
      <c r="H85" s="5"/>
      <c r="I85" s="1" t="s">
        <v>164</v>
      </c>
      <c r="J85" s="5">
        <v>46273</v>
      </c>
      <c r="K85" s="5">
        <v>46301</v>
      </c>
      <c r="L85" s="1">
        <v>16</v>
      </c>
      <c r="M85" s="1" t="s">
        <v>307</v>
      </c>
    </row>
    <row r="86" spans="1:13" ht="36" customHeight="1">
      <c r="A86" s="1" t="s">
        <v>308</v>
      </c>
      <c r="B86" s="1" t="s">
        <v>33</v>
      </c>
      <c r="C86" s="7" t="s">
        <v>309</v>
      </c>
      <c r="D86" s="1" t="s">
        <v>156</v>
      </c>
      <c r="E86" s="1" t="s">
        <v>146</v>
      </c>
      <c r="F86" s="1" t="s">
        <v>19</v>
      </c>
      <c r="G86" s="5"/>
      <c r="H86" s="5"/>
      <c r="I86" s="1" t="s">
        <v>164</v>
      </c>
      <c r="J86" s="5">
        <v>46273</v>
      </c>
      <c r="K86" s="5">
        <v>46301</v>
      </c>
      <c r="L86" s="1">
        <v>17</v>
      </c>
      <c r="M86" s="1" t="s">
        <v>310</v>
      </c>
    </row>
    <row r="87" spans="1:13" ht="36" customHeight="1">
      <c r="A87" s="1" t="s">
        <v>48</v>
      </c>
      <c r="B87" s="1"/>
      <c r="C87" s="7" t="s">
        <v>49</v>
      </c>
      <c r="D87" s="1" t="s">
        <v>145</v>
      </c>
      <c r="E87" s="1" t="s">
        <v>146</v>
      </c>
      <c r="F87" s="1" t="s">
        <v>50</v>
      </c>
      <c r="G87" s="5"/>
      <c r="H87" s="5">
        <v>46295</v>
      </c>
      <c r="I87" s="1" t="s">
        <v>164</v>
      </c>
      <c r="J87" s="5">
        <v>46273</v>
      </c>
      <c r="K87" s="5">
        <v>46301</v>
      </c>
      <c r="L87" s="1">
        <v>144</v>
      </c>
      <c r="M87" s="1" t="s">
        <v>311</v>
      </c>
    </row>
    <row r="88" spans="1:13" ht="36" customHeight="1">
      <c r="A88" s="1" t="s">
        <v>312</v>
      </c>
      <c r="B88" s="1" t="s">
        <v>48</v>
      </c>
      <c r="C88" s="7" t="s">
        <v>313</v>
      </c>
      <c r="D88" s="1" t="s">
        <v>156</v>
      </c>
      <c r="E88" s="1" t="s">
        <v>146</v>
      </c>
      <c r="F88" s="1" t="s">
        <v>50</v>
      </c>
      <c r="G88" s="5"/>
      <c r="H88" s="5"/>
      <c r="I88" s="1" t="s">
        <v>164</v>
      </c>
      <c r="J88" s="5">
        <v>46273</v>
      </c>
      <c r="K88" s="5">
        <v>46301</v>
      </c>
      <c r="L88" s="1">
        <v>145</v>
      </c>
      <c r="M88" s="1" t="s">
        <v>314</v>
      </c>
    </row>
    <row r="89" spans="1:13" ht="36" customHeight="1">
      <c r="A89" s="1" t="s">
        <v>315</v>
      </c>
      <c r="B89" s="1" t="s">
        <v>48</v>
      </c>
      <c r="C89" s="7" t="s">
        <v>316</v>
      </c>
      <c r="D89" s="1" t="s">
        <v>156</v>
      </c>
      <c r="E89" s="1" t="s">
        <v>146</v>
      </c>
      <c r="F89" s="1" t="s">
        <v>50</v>
      </c>
      <c r="G89" s="5"/>
      <c r="H89" s="5"/>
      <c r="I89" s="1" t="s">
        <v>164</v>
      </c>
      <c r="J89" s="5">
        <v>46273</v>
      </c>
      <c r="K89" s="5">
        <v>46301</v>
      </c>
      <c r="L89" s="1">
        <v>146</v>
      </c>
      <c r="M89" s="1" t="s">
        <v>317</v>
      </c>
    </row>
    <row r="90" spans="1:13" ht="36" customHeight="1">
      <c r="A90" s="1" t="s">
        <v>318</v>
      </c>
      <c r="B90" s="1" t="s">
        <v>48</v>
      </c>
      <c r="C90" s="7" t="s">
        <v>319</v>
      </c>
      <c r="D90" s="1" t="s">
        <v>156</v>
      </c>
      <c r="E90" s="1" t="s">
        <v>146</v>
      </c>
      <c r="F90" s="1" t="s">
        <v>50</v>
      </c>
      <c r="G90" s="5"/>
      <c r="H90" s="5"/>
      <c r="I90" s="1" t="s">
        <v>164</v>
      </c>
      <c r="J90" s="5">
        <v>46273</v>
      </c>
      <c r="K90" s="5">
        <v>46301</v>
      </c>
      <c r="L90" s="1">
        <v>147</v>
      </c>
      <c r="M90" s="1" t="s">
        <v>320</v>
      </c>
    </row>
    <row r="91" spans="1:13" ht="36" customHeight="1">
      <c r="A91" s="1" t="s">
        <v>321</v>
      </c>
      <c r="B91" s="1" t="s">
        <v>48</v>
      </c>
      <c r="C91" s="7" t="s">
        <v>322</v>
      </c>
      <c r="D91" s="1" t="s">
        <v>156</v>
      </c>
      <c r="E91" s="1" t="s">
        <v>146</v>
      </c>
      <c r="F91" s="1" t="s">
        <v>50</v>
      </c>
      <c r="G91" s="5"/>
      <c r="H91" s="5"/>
      <c r="I91" s="1" t="s">
        <v>164</v>
      </c>
      <c r="J91" s="5">
        <v>46273</v>
      </c>
      <c r="K91" s="5">
        <v>46301</v>
      </c>
      <c r="L91" s="1">
        <v>148</v>
      </c>
      <c r="M91" s="1" t="s">
        <v>323</v>
      </c>
    </row>
    <row r="92" spans="1:13" ht="36" customHeight="1">
      <c r="A92" s="1" t="s">
        <v>324</v>
      </c>
      <c r="B92" s="1" t="s">
        <v>48</v>
      </c>
      <c r="C92" s="7" t="s">
        <v>325</v>
      </c>
      <c r="D92" s="1" t="s">
        <v>156</v>
      </c>
      <c r="E92" s="1" t="s">
        <v>146</v>
      </c>
      <c r="F92" s="1" t="s">
        <v>50</v>
      </c>
      <c r="G92" s="5"/>
      <c r="H92" s="5"/>
      <c r="I92" s="1" t="s">
        <v>164</v>
      </c>
      <c r="J92" s="5">
        <v>46273</v>
      </c>
      <c r="K92" s="5">
        <v>46301</v>
      </c>
      <c r="L92" s="1">
        <v>149</v>
      </c>
      <c r="M92" s="1" t="s">
        <v>326</v>
      </c>
    </row>
    <row r="93" spans="1:13" ht="36" customHeight="1">
      <c r="A93" s="1" t="s">
        <v>327</v>
      </c>
      <c r="B93" s="1" t="s">
        <v>48</v>
      </c>
      <c r="C93" s="7" t="s">
        <v>328</v>
      </c>
      <c r="D93" s="1" t="s">
        <v>156</v>
      </c>
      <c r="E93" s="1" t="s">
        <v>146</v>
      </c>
      <c r="F93" s="1" t="s">
        <v>50</v>
      </c>
      <c r="G93" s="5"/>
      <c r="H93" s="5"/>
      <c r="I93" s="1" t="s">
        <v>164</v>
      </c>
      <c r="J93" s="5">
        <v>46273</v>
      </c>
      <c r="K93" s="5">
        <v>46301</v>
      </c>
      <c r="L93" s="1">
        <v>150</v>
      </c>
      <c r="M93" s="1" t="s">
        <v>329</v>
      </c>
    </row>
    <row r="94" spans="1:13" ht="36" customHeight="1">
      <c r="A94" s="1" t="s">
        <v>330</v>
      </c>
      <c r="B94" s="1" t="s">
        <v>38</v>
      </c>
      <c r="C94" s="7" t="s">
        <v>331</v>
      </c>
      <c r="D94" s="1" t="s">
        <v>156</v>
      </c>
      <c r="E94" s="1" t="s">
        <v>146</v>
      </c>
      <c r="F94" s="1" t="s">
        <v>37</v>
      </c>
      <c r="G94" s="5"/>
      <c r="H94" s="5"/>
      <c r="I94" s="1" t="s">
        <v>164</v>
      </c>
      <c r="J94" s="5">
        <v>46273</v>
      </c>
      <c r="K94" s="5">
        <v>46301</v>
      </c>
      <c r="L94" s="1">
        <v>151</v>
      </c>
      <c r="M94" s="1" t="s">
        <v>332</v>
      </c>
    </row>
    <row r="95" spans="1:13" ht="36" customHeight="1">
      <c r="A95" s="1" t="s">
        <v>333</v>
      </c>
      <c r="B95" s="1" t="s">
        <v>38</v>
      </c>
      <c r="C95" s="7" t="s">
        <v>334</v>
      </c>
      <c r="D95" s="1" t="s">
        <v>156</v>
      </c>
      <c r="E95" s="1" t="s">
        <v>146</v>
      </c>
      <c r="F95" s="1" t="s">
        <v>37</v>
      </c>
      <c r="G95" s="5"/>
      <c r="H95" s="5"/>
      <c r="I95" s="1" t="s">
        <v>164</v>
      </c>
      <c r="J95" s="5">
        <v>46273</v>
      </c>
      <c r="K95" s="5">
        <v>46301</v>
      </c>
      <c r="L95" s="1">
        <v>152</v>
      </c>
      <c r="M95" s="1" t="s">
        <v>335</v>
      </c>
    </row>
    <row r="96" spans="1:13" ht="36" customHeight="1">
      <c r="A96" s="1" t="s">
        <v>336</v>
      </c>
      <c r="B96" s="1" t="s">
        <v>38</v>
      </c>
      <c r="C96" s="7" t="s">
        <v>337</v>
      </c>
      <c r="D96" s="1" t="s">
        <v>156</v>
      </c>
      <c r="E96" s="1" t="s">
        <v>146</v>
      </c>
      <c r="F96" s="1" t="s">
        <v>37</v>
      </c>
      <c r="G96" s="5"/>
      <c r="H96" s="5"/>
      <c r="I96" s="1" t="s">
        <v>164</v>
      </c>
      <c r="J96" s="5">
        <v>46273</v>
      </c>
      <c r="K96" s="5">
        <v>46301</v>
      </c>
      <c r="L96" s="1">
        <v>153</v>
      </c>
      <c r="M96" s="1" t="s">
        <v>338</v>
      </c>
    </row>
    <row r="97" spans="1:13" ht="36" customHeight="1">
      <c r="A97" s="1" t="s">
        <v>339</v>
      </c>
      <c r="B97" s="1" t="s">
        <v>38</v>
      </c>
      <c r="C97" s="7" t="s">
        <v>340</v>
      </c>
      <c r="D97" s="1" t="s">
        <v>156</v>
      </c>
      <c r="E97" s="1" t="s">
        <v>146</v>
      </c>
      <c r="F97" s="1" t="s">
        <v>37</v>
      </c>
      <c r="G97" s="5"/>
      <c r="H97" s="5"/>
      <c r="I97" s="1" t="s">
        <v>164</v>
      </c>
      <c r="J97" s="5">
        <v>46273</v>
      </c>
      <c r="K97" s="5">
        <v>46301</v>
      </c>
      <c r="L97" s="1">
        <v>154</v>
      </c>
      <c r="M97" s="1" t="s">
        <v>341</v>
      </c>
    </row>
    <row r="98" spans="1:13" ht="36" customHeight="1">
      <c r="A98" s="1" t="s">
        <v>342</v>
      </c>
      <c r="B98" s="1" t="s">
        <v>40</v>
      </c>
      <c r="C98" s="7" t="s">
        <v>343</v>
      </c>
      <c r="D98" s="1" t="s">
        <v>156</v>
      </c>
      <c r="E98" s="1" t="s">
        <v>146</v>
      </c>
      <c r="F98" s="1" t="s">
        <v>37</v>
      </c>
      <c r="G98" s="5"/>
      <c r="H98" s="5"/>
      <c r="I98" s="1" t="s">
        <v>164</v>
      </c>
      <c r="J98" s="5">
        <v>46273</v>
      </c>
      <c r="K98" s="5">
        <v>46301</v>
      </c>
      <c r="L98" s="1">
        <v>46</v>
      </c>
      <c r="M98" s="1" t="s">
        <v>344</v>
      </c>
    </row>
    <row r="99" spans="1:13" ht="36" customHeight="1">
      <c r="A99" s="1" t="s">
        <v>345</v>
      </c>
      <c r="B99" s="1" t="s">
        <v>40</v>
      </c>
      <c r="C99" s="7" t="s">
        <v>346</v>
      </c>
      <c r="D99" s="1" t="s">
        <v>156</v>
      </c>
      <c r="E99" s="1" t="s">
        <v>146</v>
      </c>
      <c r="F99" s="1" t="s">
        <v>37</v>
      </c>
      <c r="G99" s="5"/>
      <c r="H99" s="5"/>
      <c r="I99" s="1" t="s">
        <v>164</v>
      </c>
      <c r="J99" s="5">
        <v>46273</v>
      </c>
      <c r="K99" s="5">
        <v>46301</v>
      </c>
      <c r="L99" s="1">
        <v>47</v>
      </c>
      <c r="M99" s="1" t="s">
        <v>347</v>
      </c>
    </row>
    <row r="100" spans="1:13" ht="36" customHeight="1">
      <c r="A100" s="1" t="s">
        <v>348</v>
      </c>
      <c r="B100" s="1" t="s">
        <v>40</v>
      </c>
      <c r="C100" s="7" t="s">
        <v>349</v>
      </c>
      <c r="D100" s="1" t="s">
        <v>156</v>
      </c>
      <c r="E100" s="1" t="s">
        <v>146</v>
      </c>
      <c r="F100" s="1" t="s">
        <v>37</v>
      </c>
      <c r="G100" s="5"/>
      <c r="H100" s="5"/>
      <c r="I100" s="1" t="s">
        <v>164</v>
      </c>
      <c r="J100" s="5">
        <v>46273</v>
      </c>
      <c r="K100" s="5">
        <v>46301</v>
      </c>
      <c r="L100" s="1">
        <v>48</v>
      </c>
      <c r="M100" s="1" t="s">
        <v>350</v>
      </c>
    </row>
    <row r="101" spans="1:13" ht="36" customHeight="1">
      <c r="A101" s="1" t="s">
        <v>351</v>
      </c>
      <c r="B101" s="1" t="s">
        <v>40</v>
      </c>
      <c r="C101" s="7" t="s">
        <v>352</v>
      </c>
      <c r="D101" s="1" t="s">
        <v>156</v>
      </c>
      <c r="E101" s="1" t="s">
        <v>146</v>
      </c>
      <c r="F101" s="1" t="s">
        <v>37</v>
      </c>
      <c r="G101" s="5"/>
      <c r="H101" s="5"/>
      <c r="I101" s="1" t="s">
        <v>164</v>
      </c>
      <c r="J101" s="5">
        <v>46273</v>
      </c>
      <c r="K101" s="5">
        <v>46301</v>
      </c>
      <c r="L101" s="1">
        <v>49</v>
      </c>
      <c r="M101" s="1" t="s">
        <v>353</v>
      </c>
    </row>
    <row r="102" spans="1:13" ht="36" customHeight="1">
      <c r="A102" s="1" t="s">
        <v>354</v>
      </c>
      <c r="B102" s="1" t="s">
        <v>44</v>
      </c>
      <c r="C102" s="7" t="s">
        <v>355</v>
      </c>
      <c r="D102" s="1" t="s">
        <v>156</v>
      </c>
      <c r="E102" s="1" t="s">
        <v>146</v>
      </c>
      <c r="F102" s="1" t="s">
        <v>19</v>
      </c>
      <c r="G102" s="5"/>
      <c r="H102" s="5"/>
      <c r="I102" s="1" t="s">
        <v>164</v>
      </c>
      <c r="J102" s="5">
        <v>46273</v>
      </c>
      <c r="K102" s="5">
        <v>46301</v>
      </c>
      <c r="L102" s="1">
        <v>155</v>
      </c>
      <c r="M102" s="1" t="s">
        <v>356</v>
      </c>
    </row>
    <row r="103" spans="1:13" ht="36" customHeight="1">
      <c r="A103" s="1" t="s">
        <v>357</v>
      </c>
      <c r="B103" s="1" t="s">
        <v>44</v>
      </c>
      <c r="C103" s="7" t="s">
        <v>358</v>
      </c>
      <c r="D103" s="1" t="s">
        <v>156</v>
      </c>
      <c r="E103" s="1" t="s">
        <v>146</v>
      </c>
      <c r="F103" s="1" t="s">
        <v>19</v>
      </c>
      <c r="G103" s="5"/>
      <c r="H103" s="5"/>
      <c r="I103" s="1" t="s">
        <v>164</v>
      </c>
      <c r="J103" s="5">
        <v>46273</v>
      </c>
      <c r="K103" s="5">
        <v>46301</v>
      </c>
      <c r="L103" s="1">
        <v>35</v>
      </c>
      <c r="M103" s="1" t="s">
        <v>359</v>
      </c>
    </row>
    <row r="104" spans="1:13" ht="36" customHeight="1">
      <c r="A104" s="1" t="s">
        <v>360</v>
      </c>
      <c r="B104" s="1" t="s">
        <v>44</v>
      </c>
      <c r="C104" s="7" t="s">
        <v>361</v>
      </c>
      <c r="D104" s="1" t="s">
        <v>156</v>
      </c>
      <c r="E104" s="1" t="s">
        <v>146</v>
      </c>
      <c r="F104" s="1" t="s">
        <v>19</v>
      </c>
      <c r="G104" s="5"/>
      <c r="H104" s="5"/>
      <c r="I104" s="1" t="s">
        <v>164</v>
      </c>
      <c r="J104" s="5">
        <v>46273</v>
      </c>
      <c r="K104" s="5">
        <v>46301</v>
      </c>
      <c r="L104" s="1">
        <v>34</v>
      </c>
      <c r="M104" s="1" t="s">
        <v>362</v>
      </c>
    </row>
    <row r="105" spans="1:13" ht="36" customHeight="1">
      <c r="A105" s="1" t="s">
        <v>363</v>
      </c>
      <c r="B105" s="1" t="s">
        <v>44</v>
      </c>
      <c r="C105" s="7" t="s">
        <v>364</v>
      </c>
      <c r="D105" s="1" t="s">
        <v>156</v>
      </c>
      <c r="E105" s="1" t="s">
        <v>146</v>
      </c>
      <c r="F105" s="1" t="s">
        <v>19</v>
      </c>
      <c r="G105" s="5"/>
      <c r="H105" s="5"/>
      <c r="I105" s="1" t="s">
        <v>164</v>
      </c>
      <c r="J105" s="5">
        <v>46273</v>
      </c>
      <c r="K105" s="5">
        <v>46301</v>
      </c>
      <c r="L105" s="1">
        <v>36</v>
      </c>
      <c r="M105" s="1" t="s">
        <v>365</v>
      </c>
    </row>
    <row r="106" spans="1:13" ht="36" customHeight="1">
      <c r="A106" s="1" t="s">
        <v>366</v>
      </c>
      <c r="B106" s="1" t="s">
        <v>46</v>
      </c>
      <c r="C106" s="7" t="s">
        <v>367</v>
      </c>
      <c r="D106" s="1" t="s">
        <v>156</v>
      </c>
      <c r="E106" s="1" t="s">
        <v>146</v>
      </c>
      <c r="F106" s="1" t="s">
        <v>19</v>
      </c>
      <c r="G106" s="5"/>
      <c r="H106" s="5"/>
      <c r="I106" s="1" t="s">
        <v>164</v>
      </c>
      <c r="J106" s="5">
        <v>46273</v>
      </c>
      <c r="K106" s="5">
        <v>46301</v>
      </c>
      <c r="L106" s="1">
        <v>156</v>
      </c>
      <c r="M106" s="1" t="s">
        <v>368</v>
      </c>
    </row>
    <row r="107" spans="1:13" ht="36" customHeight="1">
      <c r="A107" s="1" t="s">
        <v>369</v>
      </c>
      <c r="B107" s="1" t="s">
        <v>46</v>
      </c>
      <c r="C107" s="7" t="s">
        <v>370</v>
      </c>
      <c r="D107" s="1" t="s">
        <v>156</v>
      </c>
      <c r="E107" s="1" t="s">
        <v>146</v>
      </c>
      <c r="F107" s="1" t="s">
        <v>19</v>
      </c>
      <c r="G107" s="5"/>
      <c r="H107" s="5"/>
      <c r="I107" s="1" t="s">
        <v>164</v>
      </c>
      <c r="J107" s="5">
        <v>46273</v>
      </c>
      <c r="K107" s="5">
        <v>46301</v>
      </c>
      <c r="L107" s="1">
        <v>157</v>
      </c>
      <c r="M107" s="1" t="s">
        <v>371</v>
      </c>
    </row>
    <row r="108" spans="1:13" ht="36" customHeight="1">
      <c r="A108" s="1" t="s">
        <v>372</v>
      </c>
      <c r="B108" s="1" t="s">
        <v>46</v>
      </c>
      <c r="C108" s="7" t="s">
        <v>373</v>
      </c>
      <c r="D108" s="1" t="s">
        <v>156</v>
      </c>
      <c r="E108" s="1" t="s">
        <v>146</v>
      </c>
      <c r="F108" s="1" t="s">
        <v>19</v>
      </c>
      <c r="G108" s="5"/>
      <c r="H108" s="5"/>
      <c r="I108" s="1" t="s">
        <v>164</v>
      </c>
      <c r="J108" s="5">
        <v>46273</v>
      </c>
      <c r="K108" s="5">
        <v>46301</v>
      </c>
      <c r="L108" s="1">
        <v>158</v>
      </c>
      <c r="M108" s="1" t="s">
        <v>374</v>
      </c>
    </row>
    <row r="109" spans="1:13" ht="36" customHeight="1">
      <c r="A109" s="1" t="s">
        <v>375</v>
      </c>
      <c r="B109" s="1" t="s">
        <v>46</v>
      </c>
      <c r="C109" s="7" t="s">
        <v>376</v>
      </c>
      <c r="D109" s="1" t="s">
        <v>156</v>
      </c>
      <c r="E109" s="1" t="s">
        <v>146</v>
      </c>
      <c r="F109" s="1" t="s">
        <v>19</v>
      </c>
      <c r="G109" s="5"/>
      <c r="H109" s="5"/>
      <c r="I109" s="1" t="s">
        <v>164</v>
      </c>
      <c r="J109" s="5">
        <v>46273</v>
      </c>
      <c r="K109" s="5">
        <v>46301</v>
      </c>
      <c r="L109" s="1">
        <v>159</v>
      </c>
      <c r="M109" s="1" t="s">
        <v>377</v>
      </c>
    </row>
    <row r="110" spans="1:13" ht="36" customHeight="1">
      <c r="A110" s="1" t="s">
        <v>378</v>
      </c>
      <c r="B110" s="1" t="s">
        <v>46</v>
      </c>
      <c r="C110" s="7" t="s">
        <v>379</v>
      </c>
      <c r="D110" s="1" t="s">
        <v>156</v>
      </c>
      <c r="E110" s="1" t="s">
        <v>146</v>
      </c>
      <c r="F110" s="1" t="s">
        <v>19</v>
      </c>
      <c r="G110" s="5"/>
      <c r="H110" s="5"/>
      <c r="I110" s="1" t="s">
        <v>164</v>
      </c>
      <c r="J110" s="5">
        <v>46273</v>
      </c>
      <c r="K110" s="5">
        <v>46301</v>
      </c>
      <c r="L110" s="1">
        <v>160</v>
      </c>
      <c r="M110" s="1" t="s">
        <v>380</v>
      </c>
    </row>
    <row r="111" spans="1:13" ht="36" customHeight="1">
      <c r="A111" s="1" t="s">
        <v>381</v>
      </c>
      <c r="B111" s="1" t="s">
        <v>46</v>
      </c>
      <c r="C111" s="7" t="s">
        <v>382</v>
      </c>
      <c r="D111" s="1" t="s">
        <v>156</v>
      </c>
      <c r="E111" s="1" t="s">
        <v>146</v>
      </c>
      <c r="F111" s="1" t="s">
        <v>19</v>
      </c>
      <c r="G111" s="5"/>
      <c r="H111" s="5"/>
      <c r="I111" s="1" t="s">
        <v>164</v>
      </c>
      <c r="J111" s="5">
        <v>46273</v>
      </c>
      <c r="K111" s="5">
        <v>46301</v>
      </c>
      <c r="L111" s="1">
        <v>161</v>
      </c>
      <c r="M111" s="1" t="s">
        <v>383</v>
      </c>
    </row>
    <row r="112" spans="1:13" ht="36" customHeight="1">
      <c r="A112" s="1" t="s">
        <v>384</v>
      </c>
      <c r="B112" s="1" t="s">
        <v>46</v>
      </c>
      <c r="C112" s="7" t="s">
        <v>385</v>
      </c>
      <c r="D112" s="1" t="s">
        <v>156</v>
      </c>
      <c r="E112" s="1" t="s">
        <v>146</v>
      </c>
      <c r="F112" s="1" t="s">
        <v>19</v>
      </c>
      <c r="G112" s="5"/>
      <c r="H112" s="5"/>
      <c r="I112" s="1" t="s">
        <v>164</v>
      </c>
      <c r="J112" s="5">
        <v>46273</v>
      </c>
      <c r="K112" s="5">
        <v>46301</v>
      </c>
      <c r="L112" s="1">
        <v>162</v>
      </c>
      <c r="M112" s="1" t="s">
        <v>386</v>
      </c>
    </row>
    <row r="113" spans="1:13" ht="36" customHeight="1">
      <c r="A113" s="1" t="s">
        <v>387</v>
      </c>
      <c r="B113" s="1" t="s">
        <v>46</v>
      </c>
      <c r="C113" s="7" t="s">
        <v>388</v>
      </c>
      <c r="D113" s="1" t="s">
        <v>156</v>
      </c>
      <c r="E113" s="1" t="s">
        <v>146</v>
      </c>
      <c r="F113" s="1" t="s">
        <v>19</v>
      </c>
      <c r="G113" s="5"/>
      <c r="H113" s="5"/>
      <c r="I113" s="1" t="s">
        <v>164</v>
      </c>
      <c r="J113" s="5">
        <v>46273</v>
      </c>
      <c r="K113" s="5">
        <v>46301</v>
      </c>
      <c r="L113" s="1">
        <v>163</v>
      </c>
      <c r="M113" s="1" t="s">
        <v>389</v>
      </c>
    </row>
    <row r="114" spans="1:13" ht="36" customHeight="1">
      <c r="A114" s="1" t="s">
        <v>390</v>
      </c>
      <c r="B114" s="1" t="s">
        <v>42</v>
      </c>
      <c r="C114" s="7" t="s">
        <v>391</v>
      </c>
      <c r="D114" s="1" t="s">
        <v>156</v>
      </c>
      <c r="E114" s="1" t="s">
        <v>146</v>
      </c>
      <c r="F114" s="1" t="s">
        <v>37</v>
      </c>
      <c r="G114" s="5"/>
      <c r="H114" s="5"/>
      <c r="I114" s="1" t="s">
        <v>164</v>
      </c>
      <c r="J114" s="5">
        <v>46273</v>
      </c>
      <c r="K114" s="5">
        <v>46301</v>
      </c>
      <c r="L114" s="1">
        <v>50</v>
      </c>
      <c r="M114" s="1" t="s">
        <v>392</v>
      </c>
    </row>
    <row r="115" spans="1:13" ht="36" customHeight="1">
      <c r="A115" s="1" t="s">
        <v>393</v>
      </c>
      <c r="B115" s="1" t="s">
        <v>42</v>
      </c>
      <c r="C115" s="7" t="s">
        <v>394</v>
      </c>
      <c r="D115" s="1" t="s">
        <v>156</v>
      </c>
      <c r="E115" s="1" t="s">
        <v>146</v>
      </c>
      <c r="F115" s="1" t="s">
        <v>37</v>
      </c>
      <c r="G115" s="5"/>
      <c r="H115" s="5"/>
      <c r="I115" s="1" t="s">
        <v>164</v>
      </c>
      <c r="J115" s="5">
        <v>46273</v>
      </c>
      <c r="K115" s="5">
        <v>46301</v>
      </c>
      <c r="L115" s="1">
        <v>51</v>
      </c>
      <c r="M115" s="1" t="s">
        <v>395</v>
      </c>
    </row>
    <row r="116" spans="1:13" ht="36" customHeight="1">
      <c r="A116" s="1" t="s">
        <v>396</v>
      </c>
      <c r="B116" s="1" t="s">
        <v>42</v>
      </c>
      <c r="C116" s="7" t="s">
        <v>397</v>
      </c>
      <c r="D116" s="1" t="s">
        <v>156</v>
      </c>
      <c r="E116" s="1" t="s">
        <v>146</v>
      </c>
      <c r="F116" s="1" t="s">
        <v>37</v>
      </c>
      <c r="G116" s="5"/>
      <c r="H116" s="5"/>
      <c r="I116" s="1" t="s">
        <v>164</v>
      </c>
      <c r="J116" s="5">
        <v>46273</v>
      </c>
      <c r="K116" s="5">
        <v>46301</v>
      </c>
      <c r="L116" s="1">
        <v>52</v>
      </c>
      <c r="M116" s="1" t="s">
        <v>398</v>
      </c>
    </row>
    <row r="117" spans="1:13" ht="36" customHeight="1">
      <c r="A117" s="1" t="s">
        <v>399</v>
      </c>
      <c r="B117" s="1" t="s">
        <v>42</v>
      </c>
      <c r="C117" s="7" t="s">
        <v>400</v>
      </c>
      <c r="D117" s="1" t="s">
        <v>156</v>
      </c>
      <c r="E117" s="1" t="s">
        <v>146</v>
      </c>
      <c r="F117" s="1" t="s">
        <v>37</v>
      </c>
      <c r="G117" s="5"/>
      <c r="H117" s="5"/>
      <c r="I117" s="1" t="s">
        <v>164</v>
      </c>
      <c r="J117" s="5">
        <v>46273</v>
      </c>
      <c r="K117" s="5">
        <v>46301</v>
      </c>
      <c r="L117" s="1">
        <v>53</v>
      </c>
      <c r="M117" s="1" t="s">
        <v>401</v>
      </c>
    </row>
    <row r="118" spans="1:13" ht="36" customHeight="1">
      <c r="A118" s="1" t="s">
        <v>402</v>
      </c>
      <c r="B118" s="1" t="s">
        <v>42</v>
      </c>
      <c r="C118" s="7" t="s">
        <v>403</v>
      </c>
      <c r="D118" s="1" t="s">
        <v>156</v>
      </c>
      <c r="E118" s="1" t="s">
        <v>146</v>
      </c>
      <c r="F118" s="1" t="s">
        <v>19</v>
      </c>
      <c r="G118" s="5"/>
      <c r="H118" s="5"/>
      <c r="I118" s="1" t="s">
        <v>164</v>
      </c>
      <c r="J118" s="5">
        <v>46273</v>
      </c>
      <c r="K118" s="5">
        <v>46301</v>
      </c>
      <c r="L118" s="1">
        <v>54</v>
      </c>
      <c r="M118" s="1" t="s">
        <v>404</v>
      </c>
    </row>
    <row r="119" spans="1:13" ht="36" customHeight="1">
      <c r="A119" s="1" t="s">
        <v>51</v>
      </c>
      <c r="B119" s="1"/>
      <c r="C119" s="7" t="s">
        <v>52</v>
      </c>
      <c r="D119" s="1" t="s">
        <v>145</v>
      </c>
      <c r="E119" s="1" t="s">
        <v>146</v>
      </c>
      <c r="F119" s="1" t="s">
        <v>19</v>
      </c>
      <c r="G119" s="5"/>
      <c r="H119" s="5">
        <v>46299</v>
      </c>
      <c r="I119" s="1" t="s">
        <v>164</v>
      </c>
      <c r="J119" s="5">
        <v>46273</v>
      </c>
      <c r="K119" s="5">
        <v>46301</v>
      </c>
      <c r="L119" s="1">
        <v>164</v>
      </c>
      <c r="M119" s="1" t="s">
        <v>405</v>
      </c>
    </row>
    <row r="120" spans="1:13" ht="36" customHeight="1">
      <c r="A120" s="1" t="s">
        <v>406</v>
      </c>
      <c r="B120" s="1" t="s">
        <v>51</v>
      </c>
      <c r="C120" s="7" t="s">
        <v>407</v>
      </c>
      <c r="D120" s="1" t="s">
        <v>156</v>
      </c>
      <c r="E120" s="1" t="s">
        <v>146</v>
      </c>
      <c r="F120" s="1" t="s">
        <v>19</v>
      </c>
      <c r="G120" s="5"/>
      <c r="H120" s="5"/>
      <c r="I120" s="1" t="s">
        <v>164</v>
      </c>
      <c r="J120" s="5">
        <v>46273</v>
      </c>
      <c r="K120" s="5">
        <v>46301</v>
      </c>
      <c r="L120" s="1">
        <v>165</v>
      </c>
      <c r="M120" s="1" t="s">
        <v>408</v>
      </c>
    </row>
    <row r="121" spans="1:13" ht="36" customHeight="1">
      <c r="A121" s="1" t="s">
        <v>409</v>
      </c>
      <c r="B121" s="1" t="s">
        <v>51</v>
      </c>
      <c r="C121" s="7" t="s">
        <v>410</v>
      </c>
      <c r="D121" s="1" t="s">
        <v>156</v>
      </c>
      <c r="E121" s="1" t="s">
        <v>146</v>
      </c>
      <c r="F121" s="1" t="s">
        <v>19</v>
      </c>
      <c r="G121" s="5"/>
      <c r="H121" s="5"/>
      <c r="I121" s="1" t="s">
        <v>164</v>
      </c>
      <c r="J121" s="5">
        <v>46273</v>
      </c>
      <c r="K121" s="5">
        <v>46301</v>
      </c>
      <c r="L121" s="1">
        <v>166</v>
      </c>
      <c r="M121" s="1" t="s">
        <v>411</v>
      </c>
    </row>
    <row r="122" spans="1:13" ht="36" customHeight="1">
      <c r="A122" s="1" t="s">
        <v>412</v>
      </c>
      <c r="B122" s="1" t="s">
        <v>51</v>
      </c>
      <c r="C122" s="7" t="s">
        <v>413</v>
      </c>
      <c r="D122" s="1" t="s">
        <v>156</v>
      </c>
      <c r="E122" s="1" t="s">
        <v>146</v>
      </c>
      <c r="F122" s="1" t="s">
        <v>19</v>
      </c>
      <c r="G122" s="5"/>
      <c r="H122" s="5"/>
      <c r="I122" s="1" t="s">
        <v>164</v>
      </c>
      <c r="J122" s="5">
        <v>46273</v>
      </c>
      <c r="K122" s="5">
        <v>46301</v>
      </c>
      <c r="L122" s="1">
        <v>167</v>
      </c>
      <c r="M122" s="1" t="s">
        <v>414</v>
      </c>
    </row>
    <row r="123" spans="1:13" ht="36" customHeight="1">
      <c r="A123" s="1" t="s">
        <v>415</v>
      </c>
      <c r="B123" s="1" t="s">
        <v>51</v>
      </c>
      <c r="C123" s="7" t="s">
        <v>416</v>
      </c>
      <c r="D123" s="1" t="s">
        <v>156</v>
      </c>
      <c r="E123" s="1" t="s">
        <v>146</v>
      </c>
      <c r="F123" s="1" t="s">
        <v>19</v>
      </c>
      <c r="G123" s="5"/>
      <c r="H123" s="5"/>
      <c r="I123" s="1" t="s">
        <v>164</v>
      </c>
      <c r="J123" s="5">
        <v>46273</v>
      </c>
      <c r="K123" s="5">
        <v>46301</v>
      </c>
      <c r="L123" s="1">
        <v>168</v>
      </c>
      <c r="M123" s="1" t="s">
        <v>417</v>
      </c>
    </row>
    <row r="124" spans="1:13" ht="36" customHeight="1">
      <c r="A124" s="1" t="s">
        <v>53</v>
      </c>
      <c r="B124" s="1"/>
      <c r="C124" s="7" t="s">
        <v>54</v>
      </c>
      <c r="D124" s="1" t="s">
        <v>145</v>
      </c>
      <c r="E124" s="1" t="s">
        <v>146</v>
      </c>
      <c r="F124" s="1" t="s">
        <v>37</v>
      </c>
      <c r="G124" s="5"/>
      <c r="H124" s="5">
        <v>46301</v>
      </c>
      <c r="I124" s="1" t="s">
        <v>164</v>
      </c>
      <c r="J124" s="5">
        <v>46273</v>
      </c>
      <c r="K124" s="5">
        <v>46301</v>
      </c>
      <c r="L124" s="1">
        <v>169</v>
      </c>
      <c r="M124" s="1" t="s">
        <v>418</v>
      </c>
    </row>
    <row r="125" spans="1:13" ht="36" customHeight="1">
      <c r="A125" s="1" t="s">
        <v>55</v>
      </c>
      <c r="B125" s="1"/>
      <c r="C125" s="7" t="s">
        <v>56</v>
      </c>
      <c r="D125" s="1" t="s">
        <v>145</v>
      </c>
      <c r="E125" s="1" t="s">
        <v>146</v>
      </c>
      <c r="F125" s="1" t="s">
        <v>50</v>
      </c>
      <c r="G125" s="5"/>
      <c r="H125" s="5">
        <v>46301</v>
      </c>
      <c r="I125" s="1" t="s">
        <v>164</v>
      </c>
      <c r="J125" s="5">
        <v>46273</v>
      </c>
      <c r="K125" s="5">
        <v>46301</v>
      </c>
      <c r="L125" s="1">
        <v>170</v>
      </c>
      <c r="M125" s="1" t="s">
        <v>419</v>
      </c>
    </row>
    <row r="126" spans="1:13" ht="36" customHeight="1">
      <c r="A126" s="1" t="s">
        <v>420</v>
      </c>
      <c r="B126" s="1" t="s">
        <v>53</v>
      </c>
      <c r="C126" s="7" t="s">
        <v>421</v>
      </c>
      <c r="D126" s="1" t="s">
        <v>156</v>
      </c>
      <c r="E126" s="1" t="s">
        <v>146</v>
      </c>
      <c r="F126" s="1" t="s">
        <v>37</v>
      </c>
      <c r="G126" s="5"/>
      <c r="H126" s="5"/>
      <c r="I126" s="1" t="s">
        <v>164</v>
      </c>
      <c r="J126" s="5">
        <v>46273</v>
      </c>
      <c r="K126" s="5">
        <v>46301</v>
      </c>
      <c r="L126" s="1">
        <v>171</v>
      </c>
      <c r="M126" s="1" t="s">
        <v>422</v>
      </c>
    </row>
    <row r="127" spans="1:13" ht="36" customHeight="1">
      <c r="A127" s="1" t="s">
        <v>423</v>
      </c>
      <c r="B127" s="1" t="s">
        <v>53</v>
      </c>
      <c r="C127" s="7" t="s">
        <v>424</v>
      </c>
      <c r="D127" s="1" t="s">
        <v>156</v>
      </c>
      <c r="E127" s="1" t="s">
        <v>146</v>
      </c>
      <c r="F127" s="1" t="s">
        <v>37</v>
      </c>
      <c r="G127" s="5"/>
      <c r="H127" s="5"/>
      <c r="I127" s="1" t="s">
        <v>164</v>
      </c>
      <c r="J127" s="5">
        <v>46273</v>
      </c>
      <c r="K127" s="5">
        <v>46301</v>
      </c>
      <c r="L127" s="1">
        <v>172</v>
      </c>
      <c r="M127" s="1" t="s">
        <v>425</v>
      </c>
    </row>
    <row r="128" spans="1:13" ht="36" customHeight="1">
      <c r="A128" s="1" t="s">
        <v>426</v>
      </c>
      <c r="B128" s="1" t="s">
        <v>53</v>
      </c>
      <c r="C128" s="7" t="s">
        <v>427</v>
      </c>
      <c r="D128" s="1" t="s">
        <v>156</v>
      </c>
      <c r="E128" s="1" t="s">
        <v>146</v>
      </c>
      <c r="F128" s="1" t="s">
        <v>37</v>
      </c>
      <c r="G128" s="5"/>
      <c r="H128" s="5"/>
      <c r="I128" s="1" t="s">
        <v>164</v>
      </c>
      <c r="J128" s="5">
        <v>46273</v>
      </c>
      <c r="K128" s="5">
        <v>46301</v>
      </c>
      <c r="L128" s="1">
        <v>173</v>
      </c>
      <c r="M128" s="1" t="s">
        <v>428</v>
      </c>
    </row>
    <row r="129" spans="1:13" ht="36" customHeight="1">
      <c r="A129" s="1" t="s">
        <v>429</v>
      </c>
      <c r="B129" s="1" t="s">
        <v>53</v>
      </c>
      <c r="C129" s="7" t="s">
        <v>430</v>
      </c>
      <c r="D129" s="1" t="s">
        <v>156</v>
      </c>
      <c r="E129" s="1" t="s">
        <v>146</v>
      </c>
      <c r="F129" s="1" t="s">
        <v>37</v>
      </c>
      <c r="G129" s="5"/>
      <c r="H129" s="5"/>
      <c r="I129" s="1" t="s">
        <v>164</v>
      </c>
      <c r="J129" s="5">
        <v>46273</v>
      </c>
      <c r="K129" s="5">
        <v>46301</v>
      </c>
      <c r="L129" s="1">
        <v>174</v>
      </c>
      <c r="M129" s="1" t="s">
        <v>431</v>
      </c>
    </row>
    <row r="130" spans="1:13" ht="36" customHeight="1">
      <c r="A130" s="1" t="s">
        <v>432</v>
      </c>
      <c r="B130" s="1" t="s">
        <v>53</v>
      </c>
      <c r="C130" s="7" t="s">
        <v>433</v>
      </c>
      <c r="D130" s="1" t="s">
        <v>156</v>
      </c>
      <c r="E130" s="1" t="s">
        <v>146</v>
      </c>
      <c r="F130" s="1" t="s">
        <v>37</v>
      </c>
      <c r="G130" s="5"/>
      <c r="H130" s="5"/>
      <c r="I130" s="1" t="s">
        <v>164</v>
      </c>
      <c r="J130" s="5">
        <v>46273</v>
      </c>
      <c r="K130" s="5">
        <v>46301</v>
      </c>
      <c r="L130" s="1">
        <v>175</v>
      </c>
      <c r="M130" s="1" t="s">
        <v>434</v>
      </c>
    </row>
    <row r="131" spans="1:13" ht="36" customHeight="1">
      <c r="A131" s="1" t="s">
        <v>435</v>
      </c>
      <c r="B131" s="1" t="s">
        <v>53</v>
      </c>
      <c r="C131" s="7" t="s">
        <v>436</v>
      </c>
      <c r="D131" s="1" t="s">
        <v>156</v>
      </c>
      <c r="E131" s="1" t="s">
        <v>146</v>
      </c>
      <c r="F131" s="1" t="s">
        <v>37</v>
      </c>
      <c r="G131" s="5"/>
      <c r="H131" s="5"/>
      <c r="I131" s="1" t="s">
        <v>164</v>
      </c>
      <c r="J131" s="5">
        <v>46273</v>
      </c>
      <c r="K131" s="5">
        <v>46301</v>
      </c>
      <c r="L131" s="1">
        <v>176</v>
      </c>
      <c r="M131" s="1" t="s">
        <v>437</v>
      </c>
    </row>
    <row r="132" spans="1:13" ht="36" customHeight="1">
      <c r="A132" s="1" t="s">
        <v>438</v>
      </c>
      <c r="B132" s="1" t="s">
        <v>53</v>
      </c>
      <c r="C132" s="7" t="s">
        <v>439</v>
      </c>
      <c r="D132" s="1" t="s">
        <v>156</v>
      </c>
      <c r="E132" s="1" t="s">
        <v>146</v>
      </c>
      <c r="F132" s="1" t="s">
        <v>37</v>
      </c>
      <c r="G132" s="5"/>
      <c r="H132" s="5"/>
      <c r="I132" s="1" t="s">
        <v>164</v>
      </c>
      <c r="J132" s="5">
        <v>46273</v>
      </c>
      <c r="K132" s="5">
        <v>46301</v>
      </c>
      <c r="L132" s="1">
        <v>177</v>
      </c>
      <c r="M132" s="1" t="s">
        <v>440</v>
      </c>
    </row>
    <row r="133" spans="1:13" ht="36" customHeight="1">
      <c r="A133" s="1" t="s">
        <v>441</v>
      </c>
      <c r="B133" s="1" t="s">
        <v>53</v>
      </c>
      <c r="C133" s="7" t="s">
        <v>442</v>
      </c>
      <c r="D133" s="1" t="s">
        <v>156</v>
      </c>
      <c r="E133" s="1" t="s">
        <v>146</v>
      </c>
      <c r="F133" s="1" t="s">
        <v>37</v>
      </c>
      <c r="G133" s="5"/>
      <c r="H133" s="5"/>
      <c r="I133" s="1" t="s">
        <v>164</v>
      </c>
      <c r="J133" s="5">
        <v>46273</v>
      </c>
      <c r="K133" s="5">
        <v>46301</v>
      </c>
      <c r="L133" s="1">
        <v>178</v>
      </c>
      <c r="M133" s="1" t="s">
        <v>443</v>
      </c>
    </row>
    <row r="134" spans="1:13" ht="36" customHeight="1">
      <c r="A134" s="1" t="s">
        <v>57</v>
      </c>
      <c r="B134" s="1"/>
      <c r="C134" s="7" t="s">
        <v>58</v>
      </c>
      <c r="D134" s="1" t="s">
        <v>145</v>
      </c>
      <c r="E134" s="1" t="s">
        <v>146</v>
      </c>
      <c r="F134" s="1" t="s">
        <v>19</v>
      </c>
      <c r="G134" s="5"/>
      <c r="H134" s="5"/>
      <c r="I134" s="1" t="s">
        <v>164</v>
      </c>
      <c r="J134" s="5">
        <v>46273</v>
      </c>
      <c r="K134" s="5">
        <v>46301</v>
      </c>
      <c r="L134" s="1">
        <v>179</v>
      </c>
      <c r="M134" s="1" t="s">
        <v>444</v>
      </c>
    </row>
    <row r="135" spans="1:13" ht="36" customHeight="1">
      <c r="A135" s="1" t="s">
        <v>445</v>
      </c>
      <c r="B135" s="1" t="s">
        <v>61</v>
      </c>
      <c r="C135" s="7" t="s">
        <v>446</v>
      </c>
      <c r="D135" s="1" t="s">
        <v>156</v>
      </c>
      <c r="E135" s="1" t="s">
        <v>179</v>
      </c>
      <c r="F135" s="1" t="s">
        <v>37</v>
      </c>
      <c r="G135" s="5"/>
      <c r="H135" s="5"/>
      <c r="I135" s="1" t="s">
        <v>173</v>
      </c>
      <c r="J135" s="5">
        <v>46296</v>
      </c>
      <c r="K135" s="5">
        <v>46320</v>
      </c>
      <c r="L135" s="1">
        <v>180</v>
      </c>
      <c r="M135" s="1" t="s">
        <v>447</v>
      </c>
    </row>
    <row r="136" spans="1:13" ht="36" customHeight="1">
      <c r="A136" s="1" t="s">
        <v>448</v>
      </c>
      <c r="B136" s="1" t="s">
        <v>61</v>
      </c>
      <c r="C136" s="7" t="s">
        <v>449</v>
      </c>
      <c r="D136" s="1" t="s">
        <v>156</v>
      </c>
      <c r="E136" s="1" t="s">
        <v>179</v>
      </c>
      <c r="F136" s="1" t="s">
        <v>37</v>
      </c>
      <c r="G136" s="5"/>
      <c r="H136" s="5"/>
      <c r="I136" s="1" t="s">
        <v>173</v>
      </c>
      <c r="J136" s="5">
        <v>46296</v>
      </c>
      <c r="K136" s="5">
        <v>46320</v>
      </c>
      <c r="L136" s="1">
        <v>181</v>
      </c>
      <c r="M136" s="1" t="s">
        <v>450</v>
      </c>
    </row>
    <row r="137" spans="1:13" ht="36" customHeight="1">
      <c r="A137" s="1" t="s">
        <v>451</v>
      </c>
      <c r="B137" s="1" t="s">
        <v>61</v>
      </c>
      <c r="C137" s="7" t="s">
        <v>452</v>
      </c>
      <c r="D137" s="1" t="s">
        <v>156</v>
      </c>
      <c r="E137" s="1" t="s">
        <v>179</v>
      </c>
      <c r="F137" s="1" t="s">
        <v>37</v>
      </c>
      <c r="G137" s="5"/>
      <c r="H137" s="5"/>
      <c r="I137" s="1" t="s">
        <v>173</v>
      </c>
      <c r="J137" s="5">
        <v>46296</v>
      </c>
      <c r="K137" s="5">
        <v>46320</v>
      </c>
      <c r="L137" s="1">
        <v>182</v>
      </c>
      <c r="M137" s="1" t="s">
        <v>453</v>
      </c>
    </row>
    <row r="138" spans="1:13" ht="36" customHeight="1">
      <c r="A138" s="1" t="s">
        <v>454</v>
      </c>
      <c r="B138" s="1" t="s">
        <v>61</v>
      </c>
      <c r="C138" s="7" t="s">
        <v>455</v>
      </c>
      <c r="D138" s="1" t="s">
        <v>156</v>
      </c>
      <c r="E138" s="1" t="s">
        <v>179</v>
      </c>
      <c r="F138" s="1" t="s">
        <v>37</v>
      </c>
      <c r="G138" s="5"/>
      <c r="H138" s="5"/>
      <c r="I138" s="1" t="s">
        <v>173</v>
      </c>
      <c r="J138" s="5">
        <v>46296</v>
      </c>
      <c r="K138" s="5">
        <v>46320</v>
      </c>
      <c r="L138" s="1">
        <v>183</v>
      </c>
      <c r="M138" s="1" t="s">
        <v>456</v>
      </c>
    </row>
    <row r="139" spans="1:13" ht="36" customHeight="1">
      <c r="A139" s="1" t="s">
        <v>457</v>
      </c>
      <c r="B139" s="1" t="s">
        <v>61</v>
      </c>
      <c r="C139" s="7" t="s">
        <v>458</v>
      </c>
      <c r="D139" s="1" t="s">
        <v>156</v>
      </c>
      <c r="E139" s="1" t="s">
        <v>179</v>
      </c>
      <c r="F139" s="1" t="s">
        <v>37</v>
      </c>
      <c r="G139" s="5"/>
      <c r="H139" s="5"/>
      <c r="I139" s="1" t="s">
        <v>173</v>
      </c>
      <c r="J139" s="5">
        <v>46296</v>
      </c>
      <c r="K139" s="5">
        <v>46320</v>
      </c>
      <c r="L139" s="1">
        <v>184</v>
      </c>
      <c r="M139" s="1" t="s">
        <v>459</v>
      </c>
    </row>
    <row r="140" spans="1:13" ht="36" customHeight="1">
      <c r="A140" s="1" t="s">
        <v>460</v>
      </c>
      <c r="B140" s="1" t="s">
        <v>61</v>
      </c>
      <c r="C140" s="7" t="s">
        <v>461</v>
      </c>
      <c r="D140" s="1" t="s">
        <v>156</v>
      </c>
      <c r="E140" s="1" t="s">
        <v>179</v>
      </c>
      <c r="F140" s="1" t="s">
        <v>37</v>
      </c>
      <c r="G140" s="5"/>
      <c r="H140" s="5"/>
      <c r="I140" s="1" t="s">
        <v>173</v>
      </c>
      <c r="J140" s="5">
        <v>46296</v>
      </c>
      <c r="K140" s="5">
        <v>46320</v>
      </c>
      <c r="L140" s="1">
        <v>185</v>
      </c>
      <c r="M140" s="1" t="s">
        <v>462</v>
      </c>
    </row>
    <row r="141" spans="1:13" ht="36" customHeight="1">
      <c r="A141" s="1" t="s">
        <v>463</v>
      </c>
      <c r="B141" s="1" t="s">
        <v>61</v>
      </c>
      <c r="C141" s="7" t="s">
        <v>464</v>
      </c>
      <c r="D141" s="1" t="s">
        <v>156</v>
      </c>
      <c r="E141" s="1" t="s">
        <v>179</v>
      </c>
      <c r="F141" s="1" t="s">
        <v>37</v>
      </c>
      <c r="G141" s="5"/>
      <c r="H141" s="5"/>
      <c r="I141" s="1" t="s">
        <v>173</v>
      </c>
      <c r="J141" s="5">
        <v>46296</v>
      </c>
      <c r="K141" s="5">
        <v>46320</v>
      </c>
      <c r="L141" s="1">
        <v>186</v>
      </c>
      <c r="M141" s="1" t="s">
        <v>465</v>
      </c>
    </row>
    <row r="142" spans="1:13" ht="36" customHeight="1">
      <c r="A142" s="1" t="s">
        <v>466</v>
      </c>
      <c r="B142" s="1" t="s">
        <v>61</v>
      </c>
      <c r="C142" s="7" t="s">
        <v>467</v>
      </c>
      <c r="D142" s="1" t="s">
        <v>156</v>
      </c>
      <c r="E142" s="1" t="s">
        <v>179</v>
      </c>
      <c r="F142" s="1" t="s">
        <v>37</v>
      </c>
      <c r="G142" s="5"/>
      <c r="H142" s="5"/>
      <c r="I142" s="1" t="s">
        <v>173</v>
      </c>
      <c r="J142" s="5">
        <v>46296</v>
      </c>
      <c r="K142" s="5">
        <v>46320</v>
      </c>
      <c r="L142" s="1">
        <v>187</v>
      </c>
      <c r="M142" s="1" t="s">
        <v>468</v>
      </c>
    </row>
    <row r="143" spans="1:13" ht="36" customHeight="1">
      <c r="A143" s="1" t="s">
        <v>469</v>
      </c>
      <c r="B143" s="1" t="s">
        <v>63</v>
      </c>
      <c r="C143" s="7" t="s">
        <v>470</v>
      </c>
      <c r="D143" s="1" t="s">
        <v>156</v>
      </c>
      <c r="E143" s="1" t="s">
        <v>146</v>
      </c>
      <c r="F143" s="1" t="s">
        <v>19</v>
      </c>
      <c r="G143" s="5"/>
      <c r="H143" s="5"/>
      <c r="I143" s="1" t="s">
        <v>173</v>
      </c>
      <c r="J143" s="5">
        <v>46296</v>
      </c>
      <c r="K143" s="5">
        <v>46320</v>
      </c>
      <c r="L143" s="1">
        <v>188</v>
      </c>
      <c r="M143" s="1" t="s">
        <v>471</v>
      </c>
    </row>
    <row r="144" spans="1:13" ht="36" customHeight="1">
      <c r="A144" s="1" t="s">
        <v>472</v>
      </c>
      <c r="B144" s="1" t="s">
        <v>63</v>
      </c>
      <c r="C144" s="7" t="s">
        <v>473</v>
      </c>
      <c r="D144" s="1" t="s">
        <v>156</v>
      </c>
      <c r="E144" s="1" t="s">
        <v>146</v>
      </c>
      <c r="F144" s="1" t="s">
        <v>19</v>
      </c>
      <c r="G144" s="5"/>
      <c r="H144" s="5"/>
      <c r="I144" s="1" t="s">
        <v>173</v>
      </c>
      <c r="J144" s="5">
        <v>46296</v>
      </c>
      <c r="K144" s="5">
        <v>46320</v>
      </c>
      <c r="L144" s="1">
        <v>189</v>
      </c>
      <c r="M144" s="1" t="s">
        <v>474</v>
      </c>
    </row>
    <row r="145" spans="1:13" ht="36" customHeight="1">
      <c r="A145" s="1" t="s">
        <v>475</v>
      </c>
      <c r="B145" s="1" t="s">
        <v>63</v>
      </c>
      <c r="C145" s="7" t="s">
        <v>476</v>
      </c>
      <c r="D145" s="1" t="s">
        <v>156</v>
      </c>
      <c r="E145" s="1" t="s">
        <v>146</v>
      </c>
      <c r="F145" s="1" t="s">
        <v>19</v>
      </c>
      <c r="G145" s="5"/>
      <c r="H145" s="5"/>
      <c r="I145" s="1" t="s">
        <v>173</v>
      </c>
      <c r="J145" s="5">
        <v>46296</v>
      </c>
      <c r="K145" s="5">
        <v>46320</v>
      </c>
      <c r="L145" s="1">
        <v>190</v>
      </c>
      <c r="M145" s="1" t="s">
        <v>477</v>
      </c>
    </row>
    <row r="146" spans="1:13" ht="36" customHeight="1">
      <c r="A146" s="1" t="s">
        <v>478</v>
      </c>
      <c r="B146" s="1" t="s">
        <v>63</v>
      </c>
      <c r="C146" s="7" t="s">
        <v>479</v>
      </c>
      <c r="D146" s="1" t="s">
        <v>156</v>
      </c>
      <c r="E146" s="1" t="s">
        <v>146</v>
      </c>
      <c r="F146" s="1" t="s">
        <v>19</v>
      </c>
      <c r="G146" s="5"/>
      <c r="H146" s="5"/>
      <c r="I146" s="1" t="s">
        <v>173</v>
      </c>
      <c r="J146" s="5">
        <v>46296</v>
      </c>
      <c r="K146" s="5">
        <v>46320</v>
      </c>
      <c r="L146" s="1">
        <v>191</v>
      </c>
      <c r="M146" s="1" t="s">
        <v>480</v>
      </c>
    </row>
    <row r="147" spans="1:13" ht="36" customHeight="1">
      <c r="A147" s="1" t="s">
        <v>481</v>
      </c>
      <c r="B147" s="1" t="s">
        <v>63</v>
      </c>
      <c r="C147" s="7" t="s">
        <v>482</v>
      </c>
      <c r="D147" s="1" t="s">
        <v>156</v>
      </c>
      <c r="E147" s="1" t="s">
        <v>146</v>
      </c>
      <c r="F147" s="1" t="s">
        <v>19</v>
      </c>
      <c r="G147" s="5"/>
      <c r="H147" s="5"/>
      <c r="I147" s="1" t="s">
        <v>173</v>
      </c>
      <c r="J147" s="5">
        <v>46296</v>
      </c>
      <c r="K147" s="5">
        <v>46320</v>
      </c>
      <c r="L147" s="1">
        <v>192</v>
      </c>
      <c r="M147" s="1" t="s">
        <v>483</v>
      </c>
    </row>
    <row r="148" spans="1:13" ht="36" customHeight="1">
      <c r="A148" s="1" t="s">
        <v>484</v>
      </c>
      <c r="B148" s="1" t="s">
        <v>63</v>
      </c>
      <c r="C148" s="7" t="s">
        <v>485</v>
      </c>
      <c r="D148" s="1" t="s">
        <v>156</v>
      </c>
      <c r="E148" s="1" t="s">
        <v>146</v>
      </c>
      <c r="F148" s="1" t="s">
        <v>19</v>
      </c>
      <c r="G148" s="5"/>
      <c r="H148" s="5"/>
      <c r="I148" s="1" t="s">
        <v>173</v>
      </c>
      <c r="J148" s="5">
        <v>46296</v>
      </c>
      <c r="K148" s="5">
        <v>46320</v>
      </c>
      <c r="L148" s="1">
        <v>193</v>
      </c>
      <c r="M148" s="1" t="s">
        <v>486</v>
      </c>
    </row>
    <row r="149" spans="1:13" ht="36" customHeight="1">
      <c r="A149" s="1" t="s">
        <v>487</v>
      </c>
      <c r="B149" s="1" t="s">
        <v>63</v>
      </c>
      <c r="C149" s="7" t="s">
        <v>488</v>
      </c>
      <c r="D149" s="1" t="s">
        <v>156</v>
      </c>
      <c r="E149" s="1" t="s">
        <v>146</v>
      </c>
      <c r="F149" s="1" t="s">
        <v>19</v>
      </c>
      <c r="G149" s="5"/>
      <c r="H149" s="5"/>
      <c r="I149" s="1" t="s">
        <v>173</v>
      </c>
      <c r="J149" s="5">
        <v>46296</v>
      </c>
      <c r="K149" s="5">
        <v>46320</v>
      </c>
      <c r="L149" s="1">
        <v>194</v>
      </c>
      <c r="M149" s="1" t="s">
        <v>489</v>
      </c>
    </row>
    <row r="150" spans="1:13" ht="36" customHeight="1">
      <c r="A150" s="1" t="s">
        <v>490</v>
      </c>
      <c r="B150" s="1" t="s">
        <v>63</v>
      </c>
      <c r="C150" s="7" t="s">
        <v>491</v>
      </c>
      <c r="D150" s="1" t="s">
        <v>156</v>
      </c>
      <c r="E150" s="1" t="s">
        <v>146</v>
      </c>
      <c r="F150" s="1" t="s">
        <v>19</v>
      </c>
      <c r="G150" s="5"/>
      <c r="H150" s="5"/>
      <c r="I150" s="1" t="s">
        <v>173</v>
      </c>
      <c r="J150" s="5">
        <v>46296</v>
      </c>
      <c r="K150" s="5">
        <v>46320</v>
      </c>
      <c r="L150" s="1">
        <v>195</v>
      </c>
      <c r="M150" s="1" t="s">
        <v>492</v>
      </c>
    </row>
    <row r="151" spans="1:13" ht="36" customHeight="1">
      <c r="A151" s="1" t="s">
        <v>493</v>
      </c>
      <c r="B151" s="1" t="s">
        <v>65</v>
      </c>
      <c r="C151" s="7" t="s">
        <v>494</v>
      </c>
      <c r="D151" s="1" t="s">
        <v>156</v>
      </c>
      <c r="E151" s="1" t="s">
        <v>146</v>
      </c>
      <c r="F151" s="1" t="s">
        <v>50</v>
      </c>
      <c r="G151" s="5"/>
      <c r="H151" s="5"/>
      <c r="I151" s="1" t="s">
        <v>173</v>
      </c>
      <c r="J151" s="5">
        <v>46296</v>
      </c>
      <c r="K151" s="5">
        <v>46320</v>
      </c>
      <c r="L151" s="1">
        <v>196</v>
      </c>
      <c r="M151" s="1" t="s">
        <v>495</v>
      </c>
    </row>
    <row r="152" spans="1:13" ht="36" customHeight="1">
      <c r="A152" s="1" t="s">
        <v>496</v>
      </c>
      <c r="B152" s="1" t="s">
        <v>65</v>
      </c>
      <c r="C152" s="7" t="s">
        <v>497</v>
      </c>
      <c r="D152" s="1" t="s">
        <v>156</v>
      </c>
      <c r="E152" s="1" t="s">
        <v>146</v>
      </c>
      <c r="F152" s="1" t="s">
        <v>50</v>
      </c>
      <c r="G152" s="5"/>
      <c r="H152" s="5"/>
      <c r="I152" s="1" t="s">
        <v>173</v>
      </c>
      <c r="J152" s="5">
        <v>46296</v>
      </c>
      <c r="K152" s="5">
        <v>46320</v>
      </c>
      <c r="L152" s="1">
        <v>197</v>
      </c>
      <c r="M152" s="1" t="s">
        <v>498</v>
      </c>
    </row>
    <row r="153" spans="1:13" ht="36" customHeight="1">
      <c r="A153" s="1" t="s">
        <v>499</v>
      </c>
      <c r="B153" s="1" t="s">
        <v>65</v>
      </c>
      <c r="C153" s="7" t="s">
        <v>500</v>
      </c>
      <c r="D153" s="1" t="s">
        <v>156</v>
      </c>
      <c r="E153" s="1" t="s">
        <v>172</v>
      </c>
      <c r="F153" s="1" t="s">
        <v>50</v>
      </c>
      <c r="G153" s="5"/>
      <c r="H153" s="5"/>
      <c r="I153" s="1" t="s">
        <v>173</v>
      </c>
      <c r="J153" s="5">
        <v>46296</v>
      </c>
      <c r="K153" s="5">
        <v>46320</v>
      </c>
      <c r="L153" s="1">
        <v>198</v>
      </c>
      <c r="M153" s="1" t="s">
        <v>501</v>
      </c>
    </row>
    <row r="154" spans="1:13" ht="36" customHeight="1">
      <c r="A154" s="1" t="s">
        <v>502</v>
      </c>
      <c r="B154" s="1" t="s">
        <v>65</v>
      </c>
      <c r="C154" s="7" t="s">
        <v>503</v>
      </c>
      <c r="D154" s="1" t="s">
        <v>156</v>
      </c>
      <c r="E154" s="1" t="s">
        <v>146</v>
      </c>
      <c r="F154" s="1" t="s">
        <v>50</v>
      </c>
      <c r="G154" s="5"/>
      <c r="H154" s="5"/>
      <c r="I154" s="1" t="s">
        <v>173</v>
      </c>
      <c r="J154" s="5">
        <v>46296</v>
      </c>
      <c r="K154" s="5">
        <v>46320</v>
      </c>
      <c r="L154" s="1">
        <v>199</v>
      </c>
      <c r="M154" s="1" t="s">
        <v>504</v>
      </c>
    </row>
    <row r="155" spans="1:13" ht="36" customHeight="1">
      <c r="A155" s="1" t="s">
        <v>505</v>
      </c>
      <c r="B155" s="1" t="s">
        <v>65</v>
      </c>
      <c r="C155" s="7" t="s">
        <v>506</v>
      </c>
      <c r="D155" s="1" t="s">
        <v>156</v>
      </c>
      <c r="E155" s="1" t="s">
        <v>146</v>
      </c>
      <c r="F155" s="1" t="s">
        <v>50</v>
      </c>
      <c r="G155" s="5"/>
      <c r="H155" s="5"/>
      <c r="I155" s="1" t="s">
        <v>173</v>
      </c>
      <c r="J155" s="5">
        <v>46296</v>
      </c>
      <c r="K155" s="5">
        <v>46320</v>
      </c>
      <c r="L155" s="1">
        <v>200</v>
      </c>
      <c r="M155" s="1" t="s">
        <v>507</v>
      </c>
    </row>
    <row r="156" spans="1:13" ht="36" customHeight="1">
      <c r="A156" s="1" t="s">
        <v>508</v>
      </c>
      <c r="B156" s="1" t="s">
        <v>67</v>
      </c>
      <c r="C156" s="7" t="s">
        <v>509</v>
      </c>
      <c r="D156" s="1" t="s">
        <v>156</v>
      </c>
      <c r="E156" s="1" t="s">
        <v>146</v>
      </c>
      <c r="F156" s="1" t="s">
        <v>19</v>
      </c>
      <c r="G156" s="5"/>
      <c r="H156" s="5"/>
      <c r="I156" s="1" t="s">
        <v>173</v>
      </c>
      <c r="J156" s="5">
        <v>46296</v>
      </c>
      <c r="K156" s="5">
        <v>46320</v>
      </c>
      <c r="L156" s="1">
        <v>201</v>
      </c>
      <c r="M156" s="1" t="s">
        <v>510</v>
      </c>
    </row>
    <row r="157" spans="1:13" ht="36" customHeight="1">
      <c r="A157" s="1" t="s">
        <v>511</v>
      </c>
      <c r="B157" s="1" t="s">
        <v>67</v>
      </c>
      <c r="C157" s="7" t="s">
        <v>512</v>
      </c>
      <c r="D157" s="1" t="s">
        <v>156</v>
      </c>
      <c r="E157" s="1" t="s">
        <v>146</v>
      </c>
      <c r="F157" s="1" t="s">
        <v>19</v>
      </c>
      <c r="G157" s="5"/>
      <c r="H157" s="5"/>
      <c r="I157" s="1" t="s">
        <v>173</v>
      </c>
      <c r="J157" s="5">
        <v>46296</v>
      </c>
      <c r="K157" s="5">
        <v>46320</v>
      </c>
      <c r="L157" s="1">
        <v>202</v>
      </c>
      <c r="M157" s="1" t="s">
        <v>513</v>
      </c>
    </row>
    <row r="158" spans="1:13" ht="36" customHeight="1">
      <c r="A158" s="1" t="s">
        <v>514</v>
      </c>
      <c r="B158" s="1" t="s">
        <v>67</v>
      </c>
      <c r="C158" s="7" t="s">
        <v>515</v>
      </c>
      <c r="D158" s="1" t="s">
        <v>156</v>
      </c>
      <c r="E158" s="1" t="s">
        <v>146</v>
      </c>
      <c r="F158" s="1" t="s">
        <v>19</v>
      </c>
      <c r="G158" s="5"/>
      <c r="H158" s="5"/>
      <c r="I158" s="1" t="s">
        <v>173</v>
      </c>
      <c r="J158" s="5">
        <v>46296</v>
      </c>
      <c r="K158" s="5">
        <v>46320</v>
      </c>
      <c r="L158" s="1">
        <v>203</v>
      </c>
      <c r="M158" s="1" t="s">
        <v>516</v>
      </c>
    </row>
    <row r="159" spans="1:13" ht="36" customHeight="1">
      <c r="A159" s="1" t="s">
        <v>517</v>
      </c>
      <c r="B159" s="1" t="s">
        <v>67</v>
      </c>
      <c r="C159" s="7" t="s">
        <v>518</v>
      </c>
      <c r="D159" s="1" t="s">
        <v>156</v>
      </c>
      <c r="E159" s="1" t="s">
        <v>146</v>
      </c>
      <c r="F159" s="1" t="s">
        <v>19</v>
      </c>
      <c r="G159" s="5"/>
      <c r="H159" s="5"/>
      <c r="I159" s="1" t="s">
        <v>173</v>
      </c>
      <c r="J159" s="5">
        <v>46296</v>
      </c>
      <c r="K159" s="5">
        <v>46320</v>
      </c>
      <c r="L159" s="1">
        <v>204</v>
      </c>
      <c r="M159" s="1" t="s">
        <v>519</v>
      </c>
    </row>
    <row r="160" spans="1:13" ht="36" customHeight="1">
      <c r="A160" s="1" t="s">
        <v>520</v>
      </c>
      <c r="B160" s="1" t="s">
        <v>67</v>
      </c>
      <c r="C160" s="7" t="s">
        <v>521</v>
      </c>
      <c r="D160" s="1" t="s">
        <v>156</v>
      </c>
      <c r="E160" s="1" t="s">
        <v>146</v>
      </c>
      <c r="F160" s="1" t="s">
        <v>19</v>
      </c>
      <c r="G160" s="5"/>
      <c r="H160" s="5"/>
      <c r="I160" s="1" t="s">
        <v>173</v>
      </c>
      <c r="J160" s="5">
        <v>46296</v>
      </c>
      <c r="K160" s="5">
        <v>46320</v>
      </c>
      <c r="L160" s="1">
        <v>205</v>
      </c>
      <c r="M160" s="1" t="s">
        <v>522</v>
      </c>
    </row>
    <row r="161" spans="1:13" ht="36" customHeight="1">
      <c r="A161" s="1" t="s">
        <v>523</v>
      </c>
      <c r="B161" s="1" t="s">
        <v>67</v>
      </c>
      <c r="C161" s="7" t="s">
        <v>524</v>
      </c>
      <c r="D161" s="1" t="s">
        <v>156</v>
      </c>
      <c r="E161" s="1" t="s">
        <v>146</v>
      </c>
      <c r="F161" s="1" t="s">
        <v>19</v>
      </c>
      <c r="G161" s="5"/>
      <c r="H161" s="5"/>
      <c r="I161" s="1" t="s">
        <v>173</v>
      </c>
      <c r="J161" s="5">
        <v>46296</v>
      </c>
      <c r="K161" s="5">
        <v>46320</v>
      </c>
      <c r="L161" s="1">
        <v>206</v>
      </c>
      <c r="M161" s="1" t="s">
        <v>525</v>
      </c>
    </row>
    <row r="162" spans="1:13" ht="36" customHeight="1">
      <c r="A162" s="1" t="s">
        <v>526</v>
      </c>
      <c r="B162" s="1" t="s">
        <v>67</v>
      </c>
      <c r="C162" s="7" t="s">
        <v>527</v>
      </c>
      <c r="D162" s="1" t="s">
        <v>156</v>
      </c>
      <c r="E162" s="1" t="s">
        <v>146</v>
      </c>
      <c r="F162" s="1" t="s">
        <v>19</v>
      </c>
      <c r="G162" s="5"/>
      <c r="H162" s="5"/>
      <c r="I162" s="1" t="s">
        <v>173</v>
      </c>
      <c r="J162" s="5">
        <v>46296</v>
      </c>
      <c r="K162" s="5">
        <v>46320</v>
      </c>
      <c r="L162" s="1">
        <v>207</v>
      </c>
      <c r="M162" s="1" t="s">
        <v>528</v>
      </c>
    </row>
    <row r="163" spans="1:13" ht="36" customHeight="1">
      <c r="A163" s="1" t="s">
        <v>529</v>
      </c>
      <c r="B163" s="1" t="s">
        <v>67</v>
      </c>
      <c r="C163" s="7" t="s">
        <v>530</v>
      </c>
      <c r="D163" s="1" t="s">
        <v>156</v>
      </c>
      <c r="E163" s="1" t="s">
        <v>146</v>
      </c>
      <c r="F163" s="1" t="s">
        <v>19</v>
      </c>
      <c r="G163" s="5"/>
      <c r="H163" s="5"/>
      <c r="I163" s="1" t="s">
        <v>173</v>
      </c>
      <c r="J163" s="5">
        <v>46296</v>
      </c>
      <c r="K163" s="5">
        <v>46320</v>
      </c>
      <c r="L163" s="1">
        <v>208</v>
      </c>
      <c r="M163" s="1" t="s">
        <v>531</v>
      </c>
    </row>
    <row r="164" spans="1:13" ht="36" customHeight="1">
      <c r="A164" s="1" t="s">
        <v>532</v>
      </c>
      <c r="B164" s="1" t="s">
        <v>69</v>
      </c>
      <c r="C164" s="7" t="s">
        <v>533</v>
      </c>
      <c r="D164" s="1" t="s">
        <v>156</v>
      </c>
      <c r="E164" s="1" t="s">
        <v>146</v>
      </c>
      <c r="F164" s="1" t="s">
        <v>19</v>
      </c>
      <c r="G164" s="5"/>
      <c r="H164" s="5"/>
      <c r="I164" s="1" t="s">
        <v>173</v>
      </c>
      <c r="J164" s="5">
        <v>46296</v>
      </c>
      <c r="K164" s="5">
        <v>46320</v>
      </c>
      <c r="L164" s="1">
        <v>84</v>
      </c>
      <c r="M164" s="1" t="s">
        <v>534</v>
      </c>
    </row>
    <row r="165" spans="1:13" ht="36" customHeight="1">
      <c r="A165" s="1" t="s">
        <v>535</v>
      </c>
      <c r="B165" s="1" t="s">
        <v>69</v>
      </c>
      <c r="C165" s="7" t="s">
        <v>536</v>
      </c>
      <c r="D165" s="1" t="s">
        <v>156</v>
      </c>
      <c r="E165" s="1" t="s">
        <v>146</v>
      </c>
      <c r="F165" s="1" t="s">
        <v>19</v>
      </c>
      <c r="G165" s="5"/>
      <c r="H165" s="5"/>
      <c r="I165" s="1" t="s">
        <v>173</v>
      </c>
      <c r="J165" s="5">
        <v>46296</v>
      </c>
      <c r="K165" s="5">
        <v>46320</v>
      </c>
      <c r="L165" s="1">
        <v>85</v>
      </c>
      <c r="M165" s="1" t="s">
        <v>537</v>
      </c>
    </row>
    <row r="166" spans="1:13" ht="36" customHeight="1">
      <c r="A166" s="1" t="s">
        <v>538</v>
      </c>
      <c r="B166" s="1" t="s">
        <v>69</v>
      </c>
      <c r="C166" s="7" t="s">
        <v>539</v>
      </c>
      <c r="D166" s="1" t="s">
        <v>156</v>
      </c>
      <c r="E166" s="1" t="s">
        <v>146</v>
      </c>
      <c r="F166" s="1" t="s">
        <v>19</v>
      </c>
      <c r="G166" s="5"/>
      <c r="H166" s="5"/>
      <c r="I166" s="1" t="s">
        <v>173</v>
      </c>
      <c r="J166" s="5">
        <v>46296</v>
      </c>
      <c r="K166" s="5">
        <v>46320</v>
      </c>
      <c r="L166" s="1">
        <v>86</v>
      </c>
      <c r="M166" s="1" t="s">
        <v>540</v>
      </c>
    </row>
    <row r="167" spans="1:13" ht="36" customHeight="1">
      <c r="A167" s="1" t="s">
        <v>541</v>
      </c>
      <c r="B167" s="1" t="s">
        <v>69</v>
      </c>
      <c r="C167" s="7" t="s">
        <v>542</v>
      </c>
      <c r="D167" s="1" t="s">
        <v>156</v>
      </c>
      <c r="E167" s="1" t="s">
        <v>146</v>
      </c>
      <c r="F167" s="1" t="s">
        <v>19</v>
      </c>
      <c r="G167" s="5"/>
      <c r="H167" s="5"/>
      <c r="I167" s="1" t="s">
        <v>173</v>
      </c>
      <c r="J167" s="5">
        <v>46296</v>
      </c>
      <c r="K167" s="5">
        <v>46320</v>
      </c>
      <c r="L167" s="1">
        <v>209</v>
      </c>
      <c r="M167" s="1" t="s">
        <v>543</v>
      </c>
    </row>
    <row r="168" spans="1:13" ht="36" customHeight="1">
      <c r="A168" s="1" t="s">
        <v>544</v>
      </c>
      <c r="B168" s="1" t="s">
        <v>69</v>
      </c>
      <c r="C168" s="7" t="s">
        <v>545</v>
      </c>
      <c r="D168" s="1" t="s">
        <v>156</v>
      </c>
      <c r="E168" s="1" t="s">
        <v>146</v>
      </c>
      <c r="F168" s="1" t="s">
        <v>19</v>
      </c>
      <c r="G168" s="5"/>
      <c r="H168" s="5"/>
      <c r="I168" s="1" t="s">
        <v>173</v>
      </c>
      <c r="J168" s="5">
        <v>46296</v>
      </c>
      <c r="K168" s="5">
        <v>46320</v>
      </c>
      <c r="L168" s="1">
        <v>210</v>
      </c>
      <c r="M168" s="1" t="s">
        <v>546</v>
      </c>
    </row>
    <row r="169" spans="1:13" ht="36" customHeight="1">
      <c r="A169" s="1" t="s">
        <v>547</v>
      </c>
      <c r="B169" s="1" t="s">
        <v>69</v>
      </c>
      <c r="C169" s="7" t="s">
        <v>548</v>
      </c>
      <c r="D169" s="1" t="s">
        <v>156</v>
      </c>
      <c r="E169" s="1" t="s">
        <v>146</v>
      </c>
      <c r="F169" s="1" t="s">
        <v>19</v>
      </c>
      <c r="G169" s="5"/>
      <c r="H169" s="5"/>
      <c r="I169" s="1" t="s">
        <v>173</v>
      </c>
      <c r="J169" s="5">
        <v>46296</v>
      </c>
      <c r="K169" s="5">
        <v>46320</v>
      </c>
      <c r="L169" s="1">
        <v>211</v>
      </c>
      <c r="M169" s="1" t="s">
        <v>549</v>
      </c>
    </row>
    <row r="170" spans="1:13" ht="36" customHeight="1">
      <c r="A170" s="1" t="s">
        <v>550</v>
      </c>
      <c r="B170" s="1" t="s">
        <v>71</v>
      </c>
      <c r="C170" s="7" t="s">
        <v>551</v>
      </c>
      <c r="D170" s="1" t="s">
        <v>156</v>
      </c>
      <c r="E170" s="1" t="s">
        <v>172</v>
      </c>
      <c r="F170" s="1" t="s">
        <v>50</v>
      </c>
      <c r="G170" s="5"/>
      <c r="H170" s="5"/>
      <c r="I170" s="1" t="s">
        <v>173</v>
      </c>
      <c r="J170" s="5">
        <v>46296</v>
      </c>
      <c r="K170" s="5">
        <v>46320</v>
      </c>
      <c r="L170" s="1">
        <v>38</v>
      </c>
      <c r="M170" s="1" t="s">
        <v>552</v>
      </c>
    </row>
    <row r="171" spans="1:13" ht="36" customHeight="1">
      <c r="A171" s="1" t="s">
        <v>553</v>
      </c>
      <c r="B171" s="1" t="s">
        <v>71</v>
      </c>
      <c r="C171" s="7" t="s">
        <v>554</v>
      </c>
      <c r="D171" s="1" t="s">
        <v>156</v>
      </c>
      <c r="E171" s="1" t="s">
        <v>179</v>
      </c>
      <c r="F171" s="1" t="s">
        <v>50</v>
      </c>
      <c r="G171" s="5"/>
      <c r="H171" s="5"/>
      <c r="I171" s="1" t="s">
        <v>173</v>
      </c>
      <c r="J171" s="5">
        <v>46296</v>
      </c>
      <c r="K171" s="5">
        <v>46320</v>
      </c>
      <c r="L171" s="1">
        <v>42</v>
      </c>
      <c r="M171" s="1" t="s">
        <v>555</v>
      </c>
    </row>
    <row r="172" spans="1:13" ht="36" customHeight="1">
      <c r="A172" s="1" t="s">
        <v>556</v>
      </c>
      <c r="B172" s="1" t="s">
        <v>71</v>
      </c>
      <c r="C172" s="7" t="s">
        <v>557</v>
      </c>
      <c r="D172" s="1" t="s">
        <v>156</v>
      </c>
      <c r="E172" s="1" t="s">
        <v>179</v>
      </c>
      <c r="F172" s="1" t="s">
        <v>50</v>
      </c>
      <c r="G172" s="5"/>
      <c r="H172" s="5"/>
      <c r="I172" s="1" t="s">
        <v>173</v>
      </c>
      <c r="J172" s="5">
        <v>46296</v>
      </c>
      <c r="K172" s="5">
        <v>46320</v>
      </c>
      <c r="L172" s="1">
        <v>41</v>
      </c>
      <c r="M172" s="1" t="s">
        <v>558</v>
      </c>
    </row>
    <row r="173" spans="1:13" ht="36" customHeight="1">
      <c r="A173" s="1" t="s">
        <v>559</v>
      </c>
      <c r="B173" s="1" t="s">
        <v>71</v>
      </c>
      <c r="C173" s="7" t="s">
        <v>560</v>
      </c>
      <c r="D173" s="1" t="s">
        <v>156</v>
      </c>
      <c r="E173" s="1" t="s">
        <v>179</v>
      </c>
      <c r="F173" s="1" t="s">
        <v>50</v>
      </c>
      <c r="G173" s="5"/>
      <c r="H173" s="5"/>
      <c r="I173" s="1" t="s">
        <v>173</v>
      </c>
      <c r="J173" s="5">
        <v>46296</v>
      </c>
      <c r="K173" s="5">
        <v>46320</v>
      </c>
      <c r="L173" s="1">
        <v>212</v>
      </c>
      <c r="M173" s="1" t="s">
        <v>561</v>
      </c>
    </row>
    <row r="174" spans="1:13" ht="36" customHeight="1">
      <c r="A174" s="1" t="s">
        <v>562</v>
      </c>
      <c r="B174" s="1" t="s">
        <v>71</v>
      </c>
      <c r="C174" s="7" t="s">
        <v>563</v>
      </c>
      <c r="D174" s="1" t="s">
        <v>156</v>
      </c>
      <c r="E174" s="1" t="s">
        <v>179</v>
      </c>
      <c r="F174" s="1" t="s">
        <v>50</v>
      </c>
      <c r="G174" s="5"/>
      <c r="H174" s="5"/>
      <c r="I174" s="1" t="s">
        <v>173</v>
      </c>
      <c r="J174" s="5">
        <v>46296</v>
      </c>
      <c r="K174" s="5">
        <v>46320</v>
      </c>
      <c r="L174" s="1">
        <v>39</v>
      </c>
      <c r="M174" s="1" t="s">
        <v>564</v>
      </c>
    </row>
    <row r="175" spans="1:13" ht="36" customHeight="1">
      <c r="A175" s="1" t="s">
        <v>565</v>
      </c>
      <c r="B175" s="1" t="s">
        <v>71</v>
      </c>
      <c r="C175" s="7" t="s">
        <v>566</v>
      </c>
      <c r="D175" s="1" t="s">
        <v>156</v>
      </c>
      <c r="E175" s="1" t="s">
        <v>179</v>
      </c>
      <c r="F175" s="1" t="s">
        <v>50</v>
      </c>
      <c r="G175" s="5"/>
      <c r="H175" s="5"/>
      <c r="I175" s="1" t="s">
        <v>173</v>
      </c>
      <c r="J175" s="5">
        <v>46296</v>
      </c>
      <c r="K175" s="5">
        <v>46320</v>
      </c>
      <c r="L175" s="1">
        <v>40</v>
      </c>
      <c r="M175" s="1" t="s">
        <v>567</v>
      </c>
    </row>
    <row r="176" spans="1:13" ht="36" customHeight="1">
      <c r="A176" s="1" t="s">
        <v>568</v>
      </c>
      <c r="B176" s="1" t="s">
        <v>71</v>
      </c>
      <c r="C176" s="7" t="s">
        <v>569</v>
      </c>
      <c r="D176" s="1" t="s">
        <v>156</v>
      </c>
      <c r="E176" s="1" t="s">
        <v>179</v>
      </c>
      <c r="F176" s="1" t="s">
        <v>50</v>
      </c>
      <c r="G176" s="5"/>
      <c r="H176" s="5"/>
      <c r="I176" s="1" t="s">
        <v>173</v>
      </c>
      <c r="J176" s="5">
        <v>46296</v>
      </c>
      <c r="K176" s="5">
        <v>46320</v>
      </c>
      <c r="L176" s="1">
        <v>44</v>
      </c>
      <c r="M176" s="1" t="s">
        <v>570</v>
      </c>
    </row>
    <row r="177" spans="1:13" ht="36" customHeight="1">
      <c r="A177" s="1" t="s">
        <v>571</v>
      </c>
      <c r="B177" s="1" t="s">
        <v>71</v>
      </c>
      <c r="C177" s="7" t="s">
        <v>572</v>
      </c>
      <c r="D177" s="1" t="s">
        <v>156</v>
      </c>
      <c r="E177" s="1" t="s">
        <v>179</v>
      </c>
      <c r="F177" s="1" t="s">
        <v>50</v>
      </c>
      <c r="G177" s="5"/>
      <c r="H177" s="5"/>
      <c r="I177" s="1" t="s">
        <v>173</v>
      </c>
      <c r="J177" s="5">
        <v>46296</v>
      </c>
      <c r="K177" s="5">
        <v>46320</v>
      </c>
      <c r="L177" s="1">
        <v>43</v>
      </c>
      <c r="M177" s="1" t="s">
        <v>573</v>
      </c>
    </row>
    <row r="178" spans="1:13" ht="36" customHeight="1">
      <c r="A178" s="1" t="s">
        <v>574</v>
      </c>
      <c r="B178" s="1" t="s">
        <v>73</v>
      </c>
      <c r="C178" s="7" t="s">
        <v>575</v>
      </c>
      <c r="D178" s="1" t="s">
        <v>156</v>
      </c>
      <c r="E178" s="1" t="s">
        <v>146</v>
      </c>
      <c r="F178" s="1" t="s">
        <v>19</v>
      </c>
      <c r="G178" s="5"/>
      <c r="H178" s="5"/>
      <c r="I178" s="1" t="s">
        <v>173</v>
      </c>
      <c r="J178" s="5">
        <v>46296</v>
      </c>
      <c r="K178" s="5">
        <v>46320</v>
      </c>
      <c r="L178" s="1">
        <v>213</v>
      </c>
      <c r="M178" s="1" t="s">
        <v>576</v>
      </c>
    </row>
    <row r="179" spans="1:13" ht="36" customHeight="1">
      <c r="A179" s="1" t="s">
        <v>577</v>
      </c>
      <c r="B179" s="1" t="s">
        <v>73</v>
      </c>
      <c r="C179" s="7" t="s">
        <v>578</v>
      </c>
      <c r="D179" s="1" t="s">
        <v>156</v>
      </c>
      <c r="E179" s="1" t="s">
        <v>146</v>
      </c>
      <c r="F179" s="1" t="s">
        <v>19</v>
      </c>
      <c r="G179" s="5"/>
      <c r="H179" s="5"/>
      <c r="I179" s="1" t="s">
        <v>173</v>
      </c>
      <c r="J179" s="5">
        <v>46296</v>
      </c>
      <c r="K179" s="5">
        <v>46320</v>
      </c>
      <c r="L179" s="1">
        <v>214</v>
      </c>
      <c r="M179" s="1" t="s">
        <v>579</v>
      </c>
    </row>
    <row r="180" spans="1:13" ht="36" customHeight="1">
      <c r="A180" s="1" t="s">
        <v>580</v>
      </c>
      <c r="B180" s="1" t="s">
        <v>73</v>
      </c>
      <c r="C180" s="7" t="s">
        <v>581</v>
      </c>
      <c r="D180" s="1" t="s">
        <v>156</v>
      </c>
      <c r="E180" s="1" t="s">
        <v>146</v>
      </c>
      <c r="F180" s="1" t="s">
        <v>19</v>
      </c>
      <c r="G180" s="5"/>
      <c r="H180" s="5"/>
      <c r="I180" s="1" t="s">
        <v>173</v>
      </c>
      <c r="J180" s="5">
        <v>46296</v>
      </c>
      <c r="K180" s="5">
        <v>46320</v>
      </c>
      <c r="L180" s="1">
        <v>215</v>
      </c>
      <c r="M180" s="1" t="s">
        <v>582</v>
      </c>
    </row>
    <row r="181" spans="1:13" ht="36" customHeight="1">
      <c r="A181" s="1" t="s">
        <v>583</v>
      </c>
      <c r="B181" s="1" t="s">
        <v>73</v>
      </c>
      <c r="C181" s="7" t="s">
        <v>584</v>
      </c>
      <c r="D181" s="1" t="s">
        <v>156</v>
      </c>
      <c r="E181" s="1" t="s">
        <v>146</v>
      </c>
      <c r="F181" s="1" t="s">
        <v>19</v>
      </c>
      <c r="G181" s="5"/>
      <c r="H181" s="5"/>
      <c r="I181" s="1" t="s">
        <v>173</v>
      </c>
      <c r="J181" s="5">
        <v>46296</v>
      </c>
      <c r="K181" s="5">
        <v>46320</v>
      </c>
      <c r="L181" s="1">
        <v>216</v>
      </c>
      <c r="M181" s="1" t="s">
        <v>585</v>
      </c>
    </row>
    <row r="182" spans="1:13" ht="36" customHeight="1">
      <c r="A182" s="1" t="s">
        <v>586</v>
      </c>
      <c r="B182" s="1" t="s">
        <v>73</v>
      </c>
      <c r="C182" s="7" t="s">
        <v>587</v>
      </c>
      <c r="D182" s="1" t="s">
        <v>156</v>
      </c>
      <c r="E182" s="1" t="s">
        <v>146</v>
      </c>
      <c r="F182" s="1" t="s">
        <v>19</v>
      </c>
      <c r="G182" s="5"/>
      <c r="H182" s="5"/>
      <c r="I182" s="1" t="s">
        <v>173</v>
      </c>
      <c r="J182" s="5">
        <v>46296</v>
      </c>
      <c r="K182" s="5">
        <v>46320</v>
      </c>
      <c r="L182" s="1">
        <v>217</v>
      </c>
      <c r="M182" s="1" t="s">
        <v>588</v>
      </c>
    </row>
    <row r="183" spans="1:13" ht="36" customHeight="1">
      <c r="A183" s="1" t="s">
        <v>589</v>
      </c>
      <c r="B183" s="1" t="s">
        <v>73</v>
      </c>
      <c r="C183" s="7" t="s">
        <v>590</v>
      </c>
      <c r="D183" s="1" t="s">
        <v>156</v>
      </c>
      <c r="E183" s="1" t="s">
        <v>146</v>
      </c>
      <c r="F183" s="1" t="s">
        <v>19</v>
      </c>
      <c r="G183" s="5"/>
      <c r="H183" s="5"/>
      <c r="I183" s="1" t="s">
        <v>173</v>
      </c>
      <c r="J183" s="5">
        <v>46296</v>
      </c>
      <c r="K183" s="5">
        <v>46320</v>
      </c>
      <c r="L183" s="1">
        <v>218</v>
      </c>
      <c r="M183" s="1" t="s">
        <v>591</v>
      </c>
    </row>
    <row r="184" spans="1:13" ht="36" customHeight="1">
      <c r="A184" s="1" t="s">
        <v>592</v>
      </c>
      <c r="B184" s="1" t="s">
        <v>86</v>
      </c>
      <c r="C184" s="7" t="s">
        <v>593</v>
      </c>
      <c r="D184" s="1" t="s">
        <v>156</v>
      </c>
      <c r="E184" s="1" t="s">
        <v>179</v>
      </c>
      <c r="F184" s="1" t="s">
        <v>594</v>
      </c>
      <c r="G184" s="5"/>
      <c r="H184" s="5"/>
      <c r="I184" s="1" t="s">
        <v>182</v>
      </c>
      <c r="J184" s="5">
        <v>46321</v>
      </c>
      <c r="K184" s="5">
        <v>46341</v>
      </c>
      <c r="L184" s="1">
        <v>219</v>
      </c>
      <c r="M184" s="1" t="s">
        <v>595</v>
      </c>
    </row>
    <row r="185" spans="1:13" ht="36" customHeight="1">
      <c r="A185" s="1" t="s">
        <v>596</v>
      </c>
      <c r="B185" s="1" t="s">
        <v>86</v>
      </c>
      <c r="C185" s="7" t="s">
        <v>597</v>
      </c>
      <c r="D185" s="1" t="s">
        <v>156</v>
      </c>
      <c r="E185" s="1" t="s">
        <v>179</v>
      </c>
      <c r="F185" s="1" t="s">
        <v>594</v>
      </c>
      <c r="G185" s="5"/>
      <c r="H185" s="5"/>
      <c r="I185" s="1" t="s">
        <v>182</v>
      </c>
      <c r="J185" s="5">
        <v>46321</v>
      </c>
      <c r="K185" s="5">
        <v>46341</v>
      </c>
      <c r="L185" s="1">
        <v>220</v>
      </c>
      <c r="M185" s="1" t="s">
        <v>598</v>
      </c>
    </row>
    <row r="186" spans="1:13" ht="36" customHeight="1">
      <c r="A186" s="1" t="s">
        <v>599</v>
      </c>
      <c r="B186" s="1" t="s">
        <v>86</v>
      </c>
      <c r="C186" s="7" t="s">
        <v>600</v>
      </c>
      <c r="D186" s="1" t="s">
        <v>156</v>
      </c>
      <c r="E186" s="1" t="s">
        <v>179</v>
      </c>
      <c r="F186" s="1" t="s">
        <v>594</v>
      </c>
      <c r="G186" s="5"/>
      <c r="H186" s="5"/>
      <c r="I186" s="1" t="s">
        <v>182</v>
      </c>
      <c r="J186" s="5">
        <v>46321</v>
      </c>
      <c r="K186" s="5">
        <v>46341</v>
      </c>
      <c r="L186" s="1">
        <v>221</v>
      </c>
      <c r="M186" s="1" t="s">
        <v>601</v>
      </c>
    </row>
    <row r="187" spans="1:13" ht="36" customHeight="1">
      <c r="A187" s="1" t="s">
        <v>602</v>
      </c>
      <c r="B187" s="1" t="s">
        <v>86</v>
      </c>
      <c r="C187" s="7" t="s">
        <v>603</v>
      </c>
      <c r="D187" s="1" t="s">
        <v>156</v>
      </c>
      <c r="E187" s="1" t="s">
        <v>179</v>
      </c>
      <c r="F187" s="1" t="s">
        <v>594</v>
      </c>
      <c r="G187" s="5"/>
      <c r="H187" s="5"/>
      <c r="I187" s="1" t="s">
        <v>182</v>
      </c>
      <c r="J187" s="5">
        <v>46321</v>
      </c>
      <c r="K187" s="5">
        <v>46341</v>
      </c>
      <c r="L187" s="1">
        <v>222</v>
      </c>
      <c r="M187" s="1" t="s">
        <v>604</v>
      </c>
    </row>
    <row r="188" spans="1:13" ht="36" customHeight="1">
      <c r="A188" s="1" t="s">
        <v>605</v>
      </c>
      <c r="B188" s="1" t="s">
        <v>86</v>
      </c>
      <c r="C188" s="7" t="s">
        <v>606</v>
      </c>
      <c r="D188" s="1" t="s">
        <v>156</v>
      </c>
      <c r="E188" s="1" t="s">
        <v>179</v>
      </c>
      <c r="F188" s="1" t="s">
        <v>594</v>
      </c>
      <c r="G188" s="5"/>
      <c r="H188" s="5"/>
      <c r="I188" s="1" t="s">
        <v>182</v>
      </c>
      <c r="J188" s="5">
        <v>46321</v>
      </c>
      <c r="K188" s="5">
        <v>46341</v>
      </c>
      <c r="L188" s="1">
        <v>223</v>
      </c>
      <c r="M188" s="1" t="s">
        <v>607</v>
      </c>
    </row>
    <row r="189" spans="1:13" ht="36" customHeight="1">
      <c r="A189" s="1" t="s">
        <v>608</v>
      </c>
      <c r="B189" s="1" t="s">
        <v>86</v>
      </c>
      <c r="C189" s="7" t="s">
        <v>609</v>
      </c>
      <c r="D189" s="1" t="s">
        <v>156</v>
      </c>
      <c r="E189" s="1" t="s">
        <v>179</v>
      </c>
      <c r="F189" s="1" t="s">
        <v>594</v>
      </c>
      <c r="G189" s="5"/>
      <c r="H189" s="5"/>
      <c r="I189" s="1" t="s">
        <v>182</v>
      </c>
      <c r="J189" s="5">
        <v>46321</v>
      </c>
      <c r="K189" s="5">
        <v>46341</v>
      </c>
      <c r="L189" s="1">
        <v>224</v>
      </c>
      <c r="M189" s="1" t="s">
        <v>610</v>
      </c>
    </row>
    <row r="190" spans="1:13" ht="36" customHeight="1">
      <c r="A190" s="1" t="s">
        <v>611</v>
      </c>
      <c r="B190" s="1" t="s">
        <v>75</v>
      </c>
      <c r="C190" s="7" t="s">
        <v>612</v>
      </c>
      <c r="D190" s="1" t="s">
        <v>156</v>
      </c>
      <c r="E190" s="1" t="s">
        <v>146</v>
      </c>
      <c r="F190" s="1" t="s">
        <v>19</v>
      </c>
      <c r="G190" s="5"/>
      <c r="H190" s="5"/>
      <c r="I190" s="1" t="s">
        <v>173</v>
      </c>
      <c r="J190" s="5">
        <v>46296</v>
      </c>
      <c r="K190" s="5">
        <v>46320</v>
      </c>
      <c r="L190" s="1">
        <v>225</v>
      </c>
      <c r="M190" s="1" t="s">
        <v>613</v>
      </c>
    </row>
    <row r="191" spans="1:13" ht="36" customHeight="1">
      <c r="A191" s="1" t="s">
        <v>614</v>
      </c>
      <c r="B191" s="1" t="s">
        <v>75</v>
      </c>
      <c r="C191" s="7" t="s">
        <v>615</v>
      </c>
      <c r="D191" s="1" t="s">
        <v>156</v>
      </c>
      <c r="E191" s="1" t="s">
        <v>146</v>
      </c>
      <c r="F191" s="1" t="s">
        <v>19</v>
      </c>
      <c r="G191" s="5"/>
      <c r="H191" s="5"/>
      <c r="I191" s="1" t="s">
        <v>173</v>
      </c>
      <c r="J191" s="5">
        <v>46296</v>
      </c>
      <c r="K191" s="5">
        <v>46320</v>
      </c>
      <c r="L191" s="1">
        <v>226</v>
      </c>
      <c r="M191" s="1" t="s">
        <v>616</v>
      </c>
    </row>
    <row r="192" spans="1:13" ht="36" customHeight="1">
      <c r="A192" s="1" t="s">
        <v>617</v>
      </c>
      <c r="B192" s="1" t="s">
        <v>75</v>
      </c>
      <c r="C192" s="7" t="s">
        <v>618</v>
      </c>
      <c r="D192" s="1" t="s">
        <v>156</v>
      </c>
      <c r="E192" s="1" t="s">
        <v>146</v>
      </c>
      <c r="F192" s="1" t="s">
        <v>19</v>
      </c>
      <c r="G192" s="5"/>
      <c r="H192" s="5"/>
      <c r="I192" s="1" t="s">
        <v>173</v>
      </c>
      <c r="J192" s="5">
        <v>46296</v>
      </c>
      <c r="K192" s="5">
        <v>46320</v>
      </c>
      <c r="L192" s="1">
        <v>227</v>
      </c>
      <c r="M192" s="1" t="s">
        <v>619</v>
      </c>
    </row>
    <row r="193" spans="1:13" ht="36" customHeight="1">
      <c r="A193" s="1" t="s">
        <v>620</v>
      </c>
      <c r="B193" s="1" t="s">
        <v>75</v>
      </c>
      <c r="C193" s="7" t="s">
        <v>621</v>
      </c>
      <c r="D193" s="1" t="s">
        <v>156</v>
      </c>
      <c r="E193" s="1" t="s">
        <v>146</v>
      </c>
      <c r="F193" s="1" t="s">
        <v>19</v>
      </c>
      <c r="G193" s="5"/>
      <c r="H193" s="5"/>
      <c r="I193" s="1" t="s">
        <v>173</v>
      </c>
      <c r="J193" s="5">
        <v>46296</v>
      </c>
      <c r="K193" s="5">
        <v>46320</v>
      </c>
      <c r="L193" s="1">
        <v>228</v>
      </c>
      <c r="M193" s="1" t="s">
        <v>622</v>
      </c>
    </row>
    <row r="194" spans="1:13" ht="36" customHeight="1">
      <c r="A194" s="1" t="s">
        <v>623</v>
      </c>
      <c r="B194" s="1" t="s">
        <v>75</v>
      </c>
      <c r="C194" s="7" t="s">
        <v>624</v>
      </c>
      <c r="D194" s="1" t="s">
        <v>156</v>
      </c>
      <c r="E194" s="1" t="s">
        <v>146</v>
      </c>
      <c r="F194" s="1" t="s">
        <v>19</v>
      </c>
      <c r="G194" s="5"/>
      <c r="H194" s="5"/>
      <c r="I194" s="1" t="s">
        <v>173</v>
      </c>
      <c r="J194" s="5">
        <v>46296</v>
      </c>
      <c r="K194" s="5">
        <v>46320</v>
      </c>
      <c r="L194" s="1">
        <v>229</v>
      </c>
      <c r="M194" s="1" t="s">
        <v>625</v>
      </c>
    </row>
    <row r="195" spans="1:13" ht="36" customHeight="1">
      <c r="A195" s="1" t="s">
        <v>626</v>
      </c>
      <c r="B195" s="1" t="s">
        <v>75</v>
      </c>
      <c r="C195" s="7" t="s">
        <v>627</v>
      </c>
      <c r="D195" s="1" t="s">
        <v>156</v>
      </c>
      <c r="E195" s="1" t="s">
        <v>146</v>
      </c>
      <c r="F195" s="1" t="s">
        <v>19</v>
      </c>
      <c r="G195" s="5"/>
      <c r="H195" s="5"/>
      <c r="I195" s="1" t="s">
        <v>173</v>
      </c>
      <c r="J195" s="5">
        <v>46296</v>
      </c>
      <c r="K195" s="5">
        <v>46320</v>
      </c>
      <c r="L195" s="1">
        <v>230</v>
      </c>
      <c r="M195" s="1" t="s">
        <v>628</v>
      </c>
    </row>
    <row r="196" spans="1:13" ht="36" customHeight="1">
      <c r="A196" s="1" t="s">
        <v>77</v>
      </c>
      <c r="B196" s="1"/>
      <c r="C196" s="7" t="s">
        <v>78</v>
      </c>
      <c r="D196" s="1" t="s">
        <v>145</v>
      </c>
      <c r="E196" s="1" t="s">
        <v>172</v>
      </c>
      <c r="F196" s="1" t="s">
        <v>19</v>
      </c>
      <c r="G196" s="5">
        <v>46302</v>
      </c>
      <c r="H196" s="5">
        <v>46319</v>
      </c>
      <c r="I196" s="1" t="s">
        <v>173</v>
      </c>
      <c r="J196" s="5">
        <v>46296</v>
      </c>
      <c r="K196" s="5">
        <v>46320</v>
      </c>
      <c r="L196" s="1">
        <v>231</v>
      </c>
      <c r="M196" s="1" t="s">
        <v>629</v>
      </c>
    </row>
    <row r="197" spans="1:13" ht="36" customHeight="1">
      <c r="A197" s="1" t="s">
        <v>630</v>
      </c>
      <c r="B197" s="1" t="s">
        <v>55</v>
      </c>
      <c r="C197" s="7" t="s">
        <v>631</v>
      </c>
      <c r="D197" s="1" t="s">
        <v>156</v>
      </c>
      <c r="E197" s="1" t="s">
        <v>146</v>
      </c>
      <c r="F197" s="1" t="s">
        <v>50</v>
      </c>
      <c r="G197" s="5"/>
      <c r="H197" s="5"/>
      <c r="I197" s="1" t="s">
        <v>164</v>
      </c>
      <c r="J197" s="5">
        <v>46273</v>
      </c>
      <c r="K197" s="5">
        <v>46301</v>
      </c>
      <c r="L197" s="1">
        <v>232</v>
      </c>
      <c r="M197" s="1" t="s">
        <v>632</v>
      </c>
    </row>
    <row r="198" spans="1:13" ht="36" customHeight="1">
      <c r="A198" s="1" t="s">
        <v>633</v>
      </c>
      <c r="B198" s="1" t="s">
        <v>55</v>
      </c>
      <c r="C198" s="7" t="s">
        <v>634</v>
      </c>
      <c r="D198" s="1" t="s">
        <v>156</v>
      </c>
      <c r="E198" s="1" t="s">
        <v>146</v>
      </c>
      <c r="F198" s="1" t="s">
        <v>50</v>
      </c>
      <c r="G198" s="5"/>
      <c r="H198" s="5"/>
      <c r="I198" s="1" t="s">
        <v>164</v>
      </c>
      <c r="J198" s="5">
        <v>46273</v>
      </c>
      <c r="K198" s="5">
        <v>46301</v>
      </c>
      <c r="L198" s="1">
        <v>233</v>
      </c>
      <c r="M198" s="1" t="s">
        <v>635</v>
      </c>
    </row>
    <row r="199" spans="1:13" ht="36" customHeight="1">
      <c r="A199" s="1" t="s">
        <v>636</v>
      </c>
      <c r="B199" s="1" t="s">
        <v>55</v>
      </c>
      <c r="C199" s="7" t="s">
        <v>637</v>
      </c>
      <c r="D199" s="1" t="s">
        <v>156</v>
      </c>
      <c r="E199" s="1" t="s">
        <v>146</v>
      </c>
      <c r="F199" s="1" t="s">
        <v>50</v>
      </c>
      <c r="G199" s="5"/>
      <c r="H199" s="5"/>
      <c r="I199" s="1" t="s">
        <v>164</v>
      </c>
      <c r="J199" s="5">
        <v>46273</v>
      </c>
      <c r="K199" s="5">
        <v>46301</v>
      </c>
      <c r="L199" s="1">
        <v>234</v>
      </c>
      <c r="M199" s="1" t="s">
        <v>638</v>
      </c>
    </row>
    <row r="200" spans="1:13" ht="36" customHeight="1">
      <c r="A200" s="1" t="s">
        <v>639</v>
      </c>
      <c r="B200" s="1" t="s">
        <v>55</v>
      </c>
      <c r="C200" s="7" t="s">
        <v>640</v>
      </c>
      <c r="D200" s="1" t="s">
        <v>156</v>
      </c>
      <c r="E200" s="1" t="s">
        <v>146</v>
      </c>
      <c r="F200" s="1" t="s">
        <v>50</v>
      </c>
      <c r="G200" s="5"/>
      <c r="H200" s="5"/>
      <c r="I200" s="1" t="s">
        <v>164</v>
      </c>
      <c r="J200" s="5">
        <v>46273</v>
      </c>
      <c r="K200" s="5">
        <v>46301</v>
      </c>
      <c r="L200" s="1">
        <v>235</v>
      </c>
      <c r="M200" s="1" t="s">
        <v>641</v>
      </c>
    </row>
    <row r="201" spans="1:13" ht="36" customHeight="1">
      <c r="A201" s="1" t="s">
        <v>642</v>
      </c>
      <c r="B201" s="1" t="s">
        <v>55</v>
      </c>
      <c r="C201" s="7" t="s">
        <v>643</v>
      </c>
      <c r="D201" s="1" t="s">
        <v>156</v>
      </c>
      <c r="E201" s="1" t="s">
        <v>146</v>
      </c>
      <c r="F201" s="1" t="s">
        <v>50</v>
      </c>
      <c r="G201" s="5"/>
      <c r="H201" s="5"/>
      <c r="I201" s="1" t="s">
        <v>164</v>
      </c>
      <c r="J201" s="5">
        <v>46273</v>
      </c>
      <c r="K201" s="5">
        <v>46301</v>
      </c>
      <c r="L201" s="1">
        <v>236</v>
      </c>
      <c r="M201" s="1" t="s">
        <v>644</v>
      </c>
    </row>
    <row r="202" spans="1:13" ht="36" customHeight="1">
      <c r="A202" s="1" t="s">
        <v>645</v>
      </c>
      <c r="B202" s="1" t="s">
        <v>55</v>
      </c>
      <c r="C202" s="7" t="s">
        <v>646</v>
      </c>
      <c r="D202" s="1" t="s">
        <v>156</v>
      </c>
      <c r="E202" s="1" t="s">
        <v>146</v>
      </c>
      <c r="F202" s="1" t="s">
        <v>50</v>
      </c>
      <c r="G202" s="5"/>
      <c r="H202" s="5"/>
      <c r="I202" s="1" t="s">
        <v>164</v>
      </c>
      <c r="J202" s="5">
        <v>46273</v>
      </c>
      <c r="K202" s="5">
        <v>46301</v>
      </c>
      <c r="L202" s="1">
        <v>237</v>
      </c>
      <c r="M202" s="1" t="s">
        <v>647</v>
      </c>
    </row>
    <row r="203" spans="1:13" ht="36" customHeight="1">
      <c r="A203" s="1" t="s">
        <v>648</v>
      </c>
      <c r="B203" s="1" t="s">
        <v>102</v>
      </c>
      <c r="C203" s="7" t="s">
        <v>649</v>
      </c>
      <c r="D203" s="1" t="s">
        <v>156</v>
      </c>
      <c r="E203" s="1" t="s">
        <v>179</v>
      </c>
      <c r="F203" s="1" t="s">
        <v>594</v>
      </c>
      <c r="G203" s="5"/>
      <c r="H203" s="5"/>
      <c r="I203" s="1" t="s">
        <v>182</v>
      </c>
      <c r="J203" s="5">
        <v>46321</v>
      </c>
      <c r="K203" s="5">
        <v>46341</v>
      </c>
      <c r="L203" s="1">
        <v>238</v>
      </c>
      <c r="M203" s="1" t="s">
        <v>650</v>
      </c>
    </row>
    <row r="204" spans="1:13" ht="36" customHeight="1">
      <c r="A204" s="1" t="s">
        <v>651</v>
      </c>
      <c r="B204" s="1" t="s">
        <v>102</v>
      </c>
      <c r="C204" s="7" t="s">
        <v>652</v>
      </c>
      <c r="D204" s="1" t="s">
        <v>156</v>
      </c>
      <c r="E204" s="1" t="s">
        <v>179</v>
      </c>
      <c r="F204" s="1" t="s">
        <v>594</v>
      </c>
      <c r="G204" s="5"/>
      <c r="H204" s="5"/>
      <c r="I204" s="1" t="s">
        <v>182</v>
      </c>
      <c r="J204" s="5">
        <v>46321</v>
      </c>
      <c r="K204" s="5">
        <v>46341</v>
      </c>
      <c r="L204" s="1">
        <v>239</v>
      </c>
      <c r="M204" s="1" t="s">
        <v>653</v>
      </c>
    </row>
    <row r="205" spans="1:13" ht="36" customHeight="1">
      <c r="A205" s="1" t="s">
        <v>654</v>
      </c>
      <c r="B205" s="1" t="s">
        <v>102</v>
      </c>
      <c r="C205" s="7" t="s">
        <v>655</v>
      </c>
      <c r="D205" s="1" t="s">
        <v>156</v>
      </c>
      <c r="E205" s="1" t="s">
        <v>179</v>
      </c>
      <c r="F205" s="1" t="s">
        <v>594</v>
      </c>
      <c r="G205" s="5"/>
      <c r="H205" s="5"/>
      <c r="I205" s="1" t="s">
        <v>182</v>
      </c>
      <c r="J205" s="5">
        <v>46321</v>
      </c>
      <c r="K205" s="5">
        <v>46341</v>
      </c>
      <c r="L205" s="1">
        <v>240</v>
      </c>
      <c r="M205" s="1" t="s">
        <v>656</v>
      </c>
    </row>
    <row r="206" spans="1:13" ht="36" customHeight="1">
      <c r="A206" s="1" t="s">
        <v>657</v>
      </c>
      <c r="B206" s="1" t="s">
        <v>102</v>
      </c>
      <c r="C206" s="7" t="s">
        <v>658</v>
      </c>
      <c r="D206" s="1" t="s">
        <v>156</v>
      </c>
      <c r="E206" s="1" t="s">
        <v>179</v>
      </c>
      <c r="F206" s="1" t="s">
        <v>594</v>
      </c>
      <c r="G206" s="5"/>
      <c r="H206" s="5"/>
      <c r="I206" s="1" t="s">
        <v>182</v>
      </c>
      <c r="J206" s="5">
        <v>46321</v>
      </c>
      <c r="K206" s="5">
        <v>46341</v>
      </c>
      <c r="L206" s="1">
        <v>241</v>
      </c>
      <c r="M206" s="1" t="s">
        <v>659</v>
      </c>
    </row>
    <row r="207" spans="1:13" ht="36" customHeight="1">
      <c r="A207" s="1" t="s">
        <v>660</v>
      </c>
      <c r="B207" s="1" t="s">
        <v>102</v>
      </c>
      <c r="C207" s="7" t="s">
        <v>661</v>
      </c>
      <c r="D207" s="1" t="s">
        <v>156</v>
      </c>
      <c r="E207" s="1" t="s">
        <v>179</v>
      </c>
      <c r="F207" s="1" t="s">
        <v>594</v>
      </c>
      <c r="G207" s="5"/>
      <c r="H207" s="5"/>
      <c r="I207" s="1" t="s">
        <v>182</v>
      </c>
      <c r="J207" s="5">
        <v>46321</v>
      </c>
      <c r="K207" s="5">
        <v>46341</v>
      </c>
      <c r="L207" s="1">
        <v>242</v>
      </c>
      <c r="M207" s="1" t="s">
        <v>662</v>
      </c>
    </row>
    <row r="208" spans="1:13" ht="36" customHeight="1">
      <c r="A208" s="1" t="s">
        <v>663</v>
      </c>
      <c r="B208" s="1" t="s">
        <v>102</v>
      </c>
      <c r="C208" s="7" t="s">
        <v>664</v>
      </c>
      <c r="D208" s="1" t="s">
        <v>156</v>
      </c>
      <c r="E208" s="1" t="s">
        <v>179</v>
      </c>
      <c r="F208" s="1" t="s">
        <v>594</v>
      </c>
      <c r="G208" s="5"/>
      <c r="H208" s="5"/>
      <c r="I208" s="1" t="s">
        <v>182</v>
      </c>
      <c r="J208" s="5">
        <v>46321</v>
      </c>
      <c r="K208" s="5">
        <v>46341</v>
      </c>
      <c r="L208" s="1">
        <v>243</v>
      </c>
      <c r="M208" s="1" t="s">
        <v>665</v>
      </c>
    </row>
    <row r="209" spans="1:13" ht="36" customHeight="1">
      <c r="A209" s="1" t="s">
        <v>666</v>
      </c>
      <c r="B209" s="1" t="s">
        <v>102</v>
      </c>
      <c r="C209" s="7" t="s">
        <v>667</v>
      </c>
      <c r="D209" s="1" t="s">
        <v>156</v>
      </c>
      <c r="E209" s="1" t="s">
        <v>179</v>
      </c>
      <c r="F209" s="1" t="s">
        <v>594</v>
      </c>
      <c r="G209" s="5"/>
      <c r="H209" s="5"/>
      <c r="I209" s="1" t="s">
        <v>182</v>
      </c>
      <c r="J209" s="5">
        <v>46321</v>
      </c>
      <c r="K209" s="5">
        <v>46341</v>
      </c>
      <c r="L209" s="1">
        <v>244</v>
      </c>
      <c r="M209" s="1" t="s">
        <v>668</v>
      </c>
    </row>
    <row r="210" spans="1:13" ht="36" customHeight="1">
      <c r="A210" s="1" t="s">
        <v>669</v>
      </c>
      <c r="B210" s="1" t="s">
        <v>102</v>
      </c>
      <c r="C210" s="7" t="s">
        <v>670</v>
      </c>
      <c r="D210" s="1" t="s">
        <v>156</v>
      </c>
      <c r="E210" s="1" t="s">
        <v>179</v>
      </c>
      <c r="F210" s="1" t="s">
        <v>594</v>
      </c>
      <c r="G210" s="5"/>
      <c r="H210" s="5"/>
      <c r="I210" s="1" t="s">
        <v>182</v>
      </c>
      <c r="J210" s="5">
        <v>46321</v>
      </c>
      <c r="K210" s="5">
        <v>46341</v>
      </c>
      <c r="L210" s="1">
        <v>245</v>
      </c>
      <c r="M210" s="1" t="s">
        <v>671</v>
      </c>
    </row>
    <row r="211" spans="1:13" ht="36" customHeight="1">
      <c r="A211" s="1" t="s">
        <v>79</v>
      </c>
      <c r="B211" s="1"/>
      <c r="C211" s="7" t="s">
        <v>80</v>
      </c>
      <c r="D211" s="1" t="s">
        <v>145</v>
      </c>
      <c r="E211" s="1" t="s">
        <v>146</v>
      </c>
      <c r="F211" s="1" t="s">
        <v>37</v>
      </c>
      <c r="G211" s="5"/>
      <c r="H211" s="5">
        <v>46308</v>
      </c>
      <c r="I211" s="1" t="s">
        <v>173</v>
      </c>
      <c r="J211" s="5">
        <v>46296</v>
      </c>
      <c r="K211" s="5">
        <v>46320</v>
      </c>
      <c r="L211" s="1">
        <v>246</v>
      </c>
      <c r="M211" s="1" t="s">
        <v>672</v>
      </c>
    </row>
    <row r="212" spans="1:13" ht="36" customHeight="1">
      <c r="A212" s="1" t="s">
        <v>81</v>
      </c>
      <c r="B212" s="1"/>
      <c r="C212" s="7" t="s">
        <v>82</v>
      </c>
      <c r="D212" s="1" t="s">
        <v>145</v>
      </c>
      <c r="E212" s="1" t="s">
        <v>146</v>
      </c>
      <c r="F212" s="1" t="s">
        <v>37</v>
      </c>
      <c r="G212" s="5"/>
      <c r="H212" s="5">
        <v>46308</v>
      </c>
      <c r="I212" s="1" t="s">
        <v>173</v>
      </c>
      <c r="J212" s="5">
        <v>46296</v>
      </c>
      <c r="K212" s="5">
        <v>46320</v>
      </c>
      <c r="L212" s="1">
        <v>247</v>
      </c>
      <c r="M212" s="1" t="s">
        <v>673</v>
      </c>
    </row>
    <row r="213" spans="1:13" ht="36" customHeight="1">
      <c r="A213" s="1" t="s">
        <v>83</v>
      </c>
      <c r="B213" s="1"/>
      <c r="C213" s="7" t="s">
        <v>84</v>
      </c>
      <c r="D213" s="1" t="s">
        <v>145</v>
      </c>
      <c r="E213" s="1" t="s">
        <v>146</v>
      </c>
      <c r="F213" s="1" t="s">
        <v>37</v>
      </c>
      <c r="G213" s="5"/>
      <c r="H213" s="5">
        <v>46308</v>
      </c>
      <c r="I213" s="1" t="s">
        <v>173</v>
      </c>
      <c r="J213" s="5">
        <v>46296</v>
      </c>
      <c r="K213" s="5">
        <v>46320</v>
      </c>
      <c r="L213" s="1">
        <v>248</v>
      </c>
      <c r="M213" s="1" t="s">
        <v>674</v>
      </c>
    </row>
    <row r="214" spans="1:13" ht="36" customHeight="1">
      <c r="A214" s="1" t="s">
        <v>675</v>
      </c>
      <c r="B214" s="1" t="s">
        <v>79</v>
      </c>
      <c r="C214" s="7" t="s">
        <v>676</v>
      </c>
      <c r="D214" s="1" t="s">
        <v>156</v>
      </c>
      <c r="E214" s="1" t="s">
        <v>146</v>
      </c>
      <c r="F214" s="1" t="s">
        <v>37</v>
      </c>
      <c r="G214" s="5"/>
      <c r="H214" s="5"/>
      <c r="I214" s="1" t="s">
        <v>173</v>
      </c>
      <c r="J214" s="5">
        <v>46296</v>
      </c>
      <c r="K214" s="5">
        <v>46320</v>
      </c>
      <c r="L214" s="1">
        <v>249</v>
      </c>
      <c r="M214" s="1" t="s">
        <v>677</v>
      </c>
    </row>
    <row r="215" spans="1:13" ht="36" customHeight="1">
      <c r="A215" s="1" t="s">
        <v>678</v>
      </c>
      <c r="B215" s="1" t="s">
        <v>79</v>
      </c>
      <c r="C215" s="7" t="s">
        <v>679</v>
      </c>
      <c r="D215" s="1" t="s">
        <v>156</v>
      </c>
      <c r="E215" s="1" t="s">
        <v>146</v>
      </c>
      <c r="F215" s="1" t="s">
        <v>19</v>
      </c>
      <c r="G215" s="5"/>
      <c r="H215" s="5"/>
      <c r="I215" s="1" t="s">
        <v>173</v>
      </c>
      <c r="J215" s="5">
        <v>46296</v>
      </c>
      <c r="K215" s="5">
        <v>46320</v>
      </c>
      <c r="L215" s="1">
        <v>250</v>
      </c>
      <c r="M215" s="1" t="s">
        <v>680</v>
      </c>
    </row>
    <row r="216" spans="1:13" ht="36" customHeight="1">
      <c r="A216" s="1" t="s">
        <v>681</v>
      </c>
      <c r="B216" s="1" t="s">
        <v>79</v>
      </c>
      <c r="C216" s="7" t="s">
        <v>682</v>
      </c>
      <c r="D216" s="1" t="s">
        <v>156</v>
      </c>
      <c r="E216" s="1" t="s">
        <v>146</v>
      </c>
      <c r="F216" s="1" t="s">
        <v>37</v>
      </c>
      <c r="G216" s="5"/>
      <c r="H216" s="5"/>
      <c r="I216" s="1" t="s">
        <v>173</v>
      </c>
      <c r="J216" s="5">
        <v>46296</v>
      </c>
      <c r="K216" s="5">
        <v>46320</v>
      </c>
      <c r="L216" s="1">
        <v>251</v>
      </c>
      <c r="M216" s="1" t="s">
        <v>683</v>
      </c>
    </row>
    <row r="217" spans="1:13" ht="36" customHeight="1">
      <c r="A217" s="1" t="s">
        <v>684</v>
      </c>
      <c r="B217" s="1" t="s">
        <v>79</v>
      </c>
      <c r="C217" s="7" t="s">
        <v>685</v>
      </c>
      <c r="D217" s="1" t="s">
        <v>156</v>
      </c>
      <c r="E217" s="1" t="s">
        <v>146</v>
      </c>
      <c r="F217" s="1" t="s">
        <v>37</v>
      </c>
      <c r="G217" s="5"/>
      <c r="H217" s="5"/>
      <c r="I217" s="1" t="s">
        <v>173</v>
      </c>
      <c r="J217" s="5">
        <v>46296</v>
      </c>
      <c r="K217" s="5">
        <v>46320</v>
      </c>
      <c r="L217" s="1">
        <v>252</v>
      </c>
      <c r="M217" s="1" t="s">
        <v>686</v>
      </c>
    </row>
    <row r="218" spans="1:13" ht="36" customHeight="1">
      <c r="A218" s="1" t="s">
        <v>687</v>
      </c>
      <c r="B218" s="1" t="s">
        <v>79</v>
      </c>
      <c r="C218" s="7" t="s">
        <v>688</v>
      </c>
      <c r="D218" s="1" t="s">
        <v>156</v>
      </c>
      <c r="E218" s="1" t="s">
        <v>146</v>
      </c>
      <c r="F218" s="1" t="s">
        <v>37</v>
      </c>
      <c r="G218" s="5"/>
      <c r="H218" s="5"/>
      <c r="I218" s="1" t="s">
        <v>173</v>
      </c>
      <c r="J218" s="5">
        <v>46296</v>
      </c>
      <c r="K218" s="5">
        <v>46320</v>
      </c>
      <c r="L218" s="1">
        <v>253</v>
      </c>
      <c r="M218" s="1" t="s">
        <v>689</v>
      </c>
    </row>
    <row r="219" spans="1:13" ht="36" customHeight="1">
      <c r="A219" s="1" t="s">
        <v>690</v>
      </c>
      <c r="B219" s="1" t="s">
        <v>79</v>
      </c>
      <c r="C219" s="7" t="s">
        <v>691</v>
      </c>
      <c r="D219" s="1" t="s">
        <v>156</v>
      </c>
      <c r="E219" s="1" t="s">
        <v>146</v>
      </c>
      <c r="F219" s="1" t="s">
        <v>37</v>
      </c>
      <c r="G219" s="5"/>
      <c r="H219" s="5"/>
      <c r="I219" s="1" t="s">
        <v>173</v>
      </c>
      <c r="J219" s="5">
        <v>46296</v>
      </c>
      <c r="K219" s="5">
        <v>46320</v>
      </c>
      <c r="L219" s="1">
        <v>254</v>
      </c>
      <c r="M219" s="1" t="s">
        <v>692</v>
      </c>
    </row>
    <row r="220" spans="1:13" ht="36" customHeight="1">
      <c r="A220" s="1" t="s">
        <v>693</v>
      </c>
      <c r="B220" s="1" t="s">
        <v>79</v>
      </c>
      <c r="C220" s="7" t="s">
        <v>694</v>
      </c>
      <c r="D220" s="1" t="s">
        <v>156</v>
      </c>
      <c r="E220" s="1" t="s">
        <v>146</v>
      </c>
      <c r="F220" s="1" t="s">
        <v>37</v>
      </c>
      <c r="G220" s="5"/>
      <c r="H220" s="5"/>
      <c r="I220" s="1" t="s">
        <v>173</v>
      </c>
      <c r="J220" s="5">
        <v>46296</v>
      </c>
      <c r="K220" s="5">
        <v>46320</v>
      </c>
      <c r="L220" s="1">
        <v>255</v>
      </c>
      <c r="M220" s="1" t="s">
        <v>695</v>
      </c>
    </row>
    <row r="221" spans="1:13" ht="36" customHeight="1">
      <c r="A221" s="1" t="s">
        <v>696</v>
      </c>
      <c r="B221" s="1" t="s">
        <v>81</v>
      </c>
      <c r="C221" s="7" t="s">
        <v>697</v>
      </c>
      <c r="D221" s="1" t="s">
        <v>156</v>
      </c>
      <c r="E221" s="1" t="s">
        <v>146</v>
      </c>
      <c r="F221" s="1" t="s">
        <v>37</v>
      </c>
      <c r="G221" s="5"/>
      <c r="H221" s="5"/>
      <c r="I221" s="1" t="s">
        <v>173</v>
      </c>
      <c r="J221" s="5">
        <v>46296</v>
      </c>
      <c r="K221" s="5">
        <v>46320</v>
      </c>
      <c r="L221" s="1">
        <v>256</v>
      </c>
      <c r="M221" s="1" t="s">
        <v>698</v>
      </c>
    </row>
    <row r="222" spans="1:13" ht="36" customHeight="1">
      <c r="A222" s="1" t="s">
        <v>699</v>
      </c>
      <c r="B222" s="1" t="s">
        <v>81</v>
      </c>
      <c r="C222" s="7" t="s">
        <v>700</v>
      </c>
      <c r="D222" s="1" t="s">
        <v>156</v>
      </c>
      <c r="E222" s="1" t="s">
        <v>146</v>
      </c>
      <c r="F222" s="1" t="s">
        <v>37</v>
      </c>
      <c r="G222" s="5"/>
      <c r="H222" s="5"/>
      <c r="I222" s="1" t="s">
        <v>173</v>
      </c>
      <c r="J222" s="5">
        <v>46296</v>
      </c>
      <c r="K222" s="5">
        <v>46320</v>
      </c>
      <c r="L222" s="1">
        <v>257</v>
      </c>
      <c r="M222" s="1" t="s">
        <v>701</v>
      </c>
    </row>
    <row r="223" spans="1:13" ht="36" customHeight="1">
      <c r="A223" s="1" t="s">
        <v>702</v>
      </c>
      <c r="B223" s="1" t="s">
        <v>81</v>
      </c>
      <c r="C223" s="7" t="s">
        <v>703</v>
      </c>
      <c r="D223" s="1" t="s">
        <v>156</v>
      </c>
      <c r="E223" s="1" t="s">
        <v>146</v>
      </c>
      <c r="F223" s="1" t="s">
        <v>37</v>
      </c>
      <c r="G223" s="5"/>
      <c r="H223" s="5"/>
      <c r="I223" s="1" t="s">
        <v>173</v>
      </c>
      <c r="J223" s="5">
        <v>46296</v>
      </c>
      <c r="K223" s="5">
        <v>46320</v>
      </c>
      <c r="L223" s="1">
        <v>258</v>
      </c>
      <c r="M223" s="1" t="s">
        <v>704</v>
      </c>
    </row>
    <row r="224" spans="1:13" ht="36" customHeight="1">
      <c r="A224" s="1" t="s">
        <v>705</v>
      </c>
      <c r="B224" s="1" t="s">
        <v>81</v>
      </c>
      <c r="C224" s="7" t="s">
        <v>706</v>
      </c>
      <c r="D224" s="1" t="s">
        <v>156</v>
      </c>
      <c r="E224" s="1" t="s">
        <v>146</v>
      </c>
      <c r="F224" s="1" t="s">
        <v>37</v>
      </c>
      <c r="G224" s="5"/>
      <c r="H224" s="5"/>
      <c r="I224" s="1" t="s">
        <v>173</v>
      </c>
      <c r="J224" s="5">
        <v>46296</v>
      </c>
      <c r="K224" s="5">
        <v>46320</v>
      </c>
      <c r="L224" s="1">
        <v>259</v>
      </c>
      <c r="M224" s="1" t="s">
        <v>707</v>
      </c>
    </row>
    <row r="225" spans="1:13" ht="36" customHeight="1">
      <c r="A225" s="1" t="s">
        <v>708</v>
      </c>
      <c r="B225" s="1" t="s">
        <v>81</v>
      </c>
      <c r="C225" s="7" t="s">
        <v>709</v>
      </c>
      <c r="D225" s="1" t="s">
        <v>156</v>
      </c>
      <c r="E225" s="1" t="s">
        <v>146</v>
      </c>
      <c r="F225" s="1" t="s">
        <v>37</v>
      </c>
      <c r="G225" s="5"/>
      <c r="H225" s="5"/>
      <c r="I225" s="1" t="s">
        <v>173</v>
      </c>
      <c r="J225" s="5">
        <v>46296</v>
      </c>
      <c r="K225" s="5">
        <v>46320</v>
      </c>
      <c r="L225" s="1">
        <v>260</v>
      </c>
      <c r="M225" s="1" t="s">
        <v>710</v>
      </c>
    </row>
    <row r="226" spans="1:13" ht="36" customHeight="1">
      <c r="A226" s="1" t="s">
        <v>711</v>
      </c>
      <c r="B226" s="1" t="s">
        <v>81</v>
      </c>
      <c r="C226" s="7" t="s">
        <v>712</v>
      </c>
      <c r="D226" s="1" t="s">
        <v>156</v>
      </c>
      <c r="E226" s="1" t="s">
        <v>146</v>
      </c>
      <c r="F226" s="1" t="s">
        <v>37</v>
      </c>
      <c r="G226" s="5"/>
      <c r="H226" s="5"/>
      <c r="I226" s="1" t="s">
        <v>173</v>
      </c>
      <c r="J226" s="5">
        <v>46296</v>
      </c>
      <c r="K226" s="5">
        <v>46320</v>
      </c>
      <c r="L226" s="1">
        <v>261</v>
      </c>
      <c r="M226" s="1" t="s">
        <v>713</v>
      </c>
    </row>
    <row r="227" spans="1:13" ht="36" customHeight="1">
      <c r="A227" s="1" t="s">
        <v>714</v>
      </c>
      <c r="B227" s="1" t="s">
        <v>83</v>
      </c>
      <c r="C227" s="7" t="s">
        <v>715</v>
      </c>
      <c r="D227" s="1" t="s">
        <v>156</v>
      </c>
      <c r="E227" s="1" t="s">
        <v>146</v>
      </c>
      <c r="F227" s="1" t="s">
        <v>37</v>
      </c>
      <c r="G227" s="5"/>
      <c r="H227" s="5"/>
      <c r="I227" s="1" t="s">
        <v>173</v>
      </c>
      <c r="J227" s="5">
        <v>46296</v>
      </c>
      <c r="K227" s="5">
        <v>46320</v>
      </c>
      <c r="L227" s="1">
        <v>262</v>
      </c>
      <c r="M227" s="1" t="s">
        <v>716</v>
      </c>
    </row>
    <row r="228" spans="1:13" ht="36" customHeight="1">
      <c r="A228" s="1" t="s">
        <v>717</v>
      </c>
      <c r="B228" s="1" t="s">
        <v>83</v>
      </c>
      <c r="C228" s="7" t="s">
        <v>718</v>
      </c>
      <c r="D228" s="1" t="s">
        <v>156</v>
      </c>
      <c r="E228" s="1" t="s">
        <v>146</v>
      </c>
      <c r="F228" s="1" t="s">
        <v>37</v>
      </c>
      <c r="G228" s="5"/>
      <c r="H228" s="5"/>
      <c r="I228" s="1" t="s">
        <v>173</v>
      </c>
      <c r="J228" s="5">
        <v>46296</v>
      </c>
      <c r="K228" s="5">
        <v>46320</v>
      </c>
      <c r="L228" s="1">
        <v>263</v>
      </c>
      <c r="M228" s="1" t="s">
        <v>719</v>
      </c>
    </row>
    <row r="229" spans="1:13" ht="36" customHeight="1">
      <c r="A229" s="1" t="s">
        <v>720</v>
      </c>
      <c r="B229" s="1" t="s">
        <v>83</v>
      </c>
      <c r="C229" s="7" t="s">
        <v>721</v>
      </c>
      <c r="D229" s="1" t="s">
        <v>156</v>
      </c>
      <c r="E229" s="1" t="s">
        <v>146</v>
      </c>
      <c r="F229" s="1" t="s">
        <v>37</v>
      </c>
      <c r="G229" s="5"/>
      <c r="H229" s="5"/>
      <c r="I229" s="1" t="s">
        <v>173</v>
      </c>
      <c r="J229" s="5">
        <v>46296</v>
      </c>
      <c r="K229" s="5">
        <v>46320</v>
      </c>
      <c r="L229" s="1">
        <v>264</v>
      </c>
      <c r="M229" s="1" t="s">
        <v>722</v>
      </c>
    </row>
    <row r="230" spans="1:13" ht="36" customHeight="1">
      <c r="A230" s="1" t="s">
        <v>723</v>
      </c>
      <c r="B230" s="1" t="s">
        <v>83</v>
      </c>
      <c r="C230" s="7" t="s">
        <v>724</v>
      </c>
      <c r="D230" s="1" t="s">
        <v>156</v>
      </c>
      <c r="E230" s="1" t="s">
        <v>146</v>
      </c>
      <c r="F230" s="1" t="s">
        <v>37</v>
      </c>
      <c r="G230" s="5"/>
      <c r="H230" s="5"/>
      <c r="I230" s="1" t="s">
        <v>173</v>
      </c>
      <c r="J230" s="5">
        <v>46296</v>
      </c>
      <c r="K230" s="5">
        <v>46320</v>
      </c>
      <c r="L230" s="1">
        <v>265</v>
      </c>
      <c r="M230" s="1" t="s">
        <v>725</v>
      </c>
    </row>
    <row r="231" spans="1:13" ht="36" customHeight="1">
      <c r="A231" s="1" t="s">
        <v>726</v>
      </c>
      <c r="B231" s="1" t="s">
        <v>83</v>
      </c>
      <c r="C231" s="7" t="s">
        <v>727</v>
      </c>
      <c r="D231" s="1" t="s">
        <v>156</v>
      </c>
      <c r="E231" s="1" t="s">
        <v>146</v>
      </c>
      <c r="F231" s="1" t="s">
        <v>37</v>
      </c>
      <c r="G231" s="5"/>
      <c r="H231" s="5"/>
      <c r="I231" s="1" t="s">
        <v>173</v>
      </c>
      <c r="J231" s="5">
        <v>46296</v>
      </c>
      <c r="K231" s="5">
        <v>46320</v>
      </c>
      <c r="L231" s="1">
        <v>266</v>
      </c>
      <c r="M231" s="1" t="s">
        <v>728</v>
      </c>
    </row>
    <row r="232" spans="1:13" ht="36" customHeight="1">
      <c r="A232" s="1" t="s">
        <v>729</v>
      </c>
      <c r="B232" s="1" t="s">
        <v>83</v>
      </c>
      <c r="C232" s="7" t="s">
        <v>730</v>
      </c>
      <c r="D232" s="1" t="s">
        <v>156</v>
      </c>
      <c r="E232" s="1" t="s">
        <v>146</v>
      </c>
      <c r="F232" s="1" t="s">
        <v>37</v>
      </c>
      <c r="G232" s="5"/>
      <c r="H232" s="5"/>
      <c r="I232" s="1" t="s">
        <v>173</v>
      </c>
      <c r="J232" s="5">
        <v>46296</v>
      </c>
      <c r="K232" s="5">
        <v>46320</v>
      </c>
      <c r="L232" s="1">
        <v>267</v>
      </c>
      <c r="M232" s="1" t="s">
        <v>731</v>
      </c>
    </row>
    <row r="233" spans="1:13" ht="36" customHeight="1">
      <c r="A233" s="1" t="s">
        <v>732</v>
      </c>
      <c r="B233" s="1" t="s">
        <v>83</v>
      </c>
      <c r="C233" s="7" t="s">
        <v>733</v>
      </c>
      <c r="D233" s="1" t="s">
        <v>156</v>
      </c>
      <c r="E233" s="1" t="s">
        <v>146</v>
      </c>
      <c r="F233" s="1" t="s">
        <v>37</v>
      </c>
      <c r="G233" s="5"/>
      <c r="H233" s="5"/>
      <c r="I233" s="1" t="s">
        <v>173</v>
      </c>
      <c r="J233" s="5">
        <v>46296</v>
      </c>
      <c r="K233" s="5">
        <v>46320</v>
      </c>
      <c r="L233" s="1">
        <v>268</v>
      </c>
      <c r="M233" s="1" t="s">
        <v>734</v>
      </c>
    </row>
    <row r="234" spans="1:13" ht="36" customHeight="1">
      <c r="A234" s="1" t="s">
        <v>735</v>
      </c>
      <c r="B234" s="1" t="s">
        <v>83</v>
      </c>
      <c r="C234" s="7" t="s">
        <v>718</v>
      </c>
      <c r="D234" s="1" t="s">
        <v>156</v>
      </c>
      <c r="E234" s="1" t="s">
        <v>146</v>
      </c>
      <c r="F234" s="1" t="s">
        <v>37</v>
      </c>
      <c r="G234" s="5"/>
      <c r="H234" s="5"/>
      <c r="I234" s="1" t="s">
        <v>173</v>
      </c>
      <c r="J234" s="5">
        <v>46296</v>
      </c>
      <c r="K234" s="5">
        <v>46320</v>
      </c>
      <c r="L234" s="1">
        <v>269</v>
      </c>
      <c r="M234" s="1" t="s">
        <v>736</v>
      </c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</vt:lpstr>
      <vt:lpstr>Datos 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Castillo</cp:lastModifiedBy>
  <dcterms:created xsi:type="dcterms:W3CDTF">2026-10-23T22:35:23Z</dcterms:created>
  <dcterms:modified xsi:type="dcterms:W3CDTF">2026-10-23T22:35:23Z</dcterms:modified>
</cp:coreProperties>
</file>